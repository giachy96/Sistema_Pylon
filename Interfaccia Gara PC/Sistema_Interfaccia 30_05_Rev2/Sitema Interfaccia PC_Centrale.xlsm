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"/>
    </mc:Choice>
  </mc:AlternateContent>
  <xr:revisionPtr revIDLastSave="0" documentId="13_ncr:1_{90041250-810F-4623-9529-B9A769BAA86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3" i="7" l="1"/>
  <c r="S48" i="7"/>
  <c r="S52" i="7" s="1"/>
  <c r="T2" i="6"/>
</calcChain>
</file>

<file path=xl/sharedStrings.xml><?xml version="1.0" encoding="utf-8"?>
<sst xmlns="http://schemas.openxmlformats.org/spreadsheetml/2006/main" count="2709" uniqueCount="319">
  <si>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</si>
  <si>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</si>
  <si>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</si>
  <si>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</si>
  <si>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</si>
  <si>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</si>
  <si>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</si>
  <si>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</si>
  <si>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</si>
  <si>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</si>
  <si>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</si>
  <si>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</si>
  <si>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</si>
  <si>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</si>
  <si>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</si>
  <si>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</si>
  <si>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</si>
  <si>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</si>
  <si>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</si>
  <si>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</si>
  <si>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</si>
  <si>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</si>
  <si>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</si>
  <si>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</si>
  <si>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</si>
  <si>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</si>
  <si>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</si>
  <si>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</si>
  <si>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</si>
  <si>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</si>
  <si>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</si>
  <si>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</si>
  <si>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</si>
  <si>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</si>
  <si>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</si>
  <si>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</si>
  <si>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</si>
  <si>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</si>
  <si>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</si>
  <si>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</si>
  <si>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</si>
  <si>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</si>
  <si>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</si>
  <si>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</si>
  <si>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</si>
  <si>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</si>
  <si>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</si>
  <si>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</si>
  <si>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</si>
  <si>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</si>
  <si>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</si>
  <si>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</si>
  <si>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</si>
  <si>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</si>
  <si>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</si>
  <si>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</si>
  <si>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</si>
  <si>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</si>
  <si>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</si>
  <si>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</si>
  <si>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</si>
  <si>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</si>
  <si>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</si>
  <si>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</si>
  <si>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</si>
  <si>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</si>
  <si>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</si>
  <si>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</si>
  <si>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</si>
  <si>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</si>
  <si>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</si>
  <si>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</si>
  <si>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</si>
  <si>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</si>
  <si>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</si>
  <si>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</si>
  <si>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</si>
  <si>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</si>
  <si>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</si>
  <si>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</si>
  <si>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</si>
  <si>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</si>
  <si>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</si>
  <si>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</si>
  <si>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</si>
  <si>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</si>
  <si>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</si>
  <si>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</si>
  <si>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</si>
  <si>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</si>
  <si>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</si>
  <si>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</si>
  <si>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</si>
  <si>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</si>
  <si>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</si>
  <si>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</si>
  <si>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</si>
  <si>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</si>
  <si>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</si>
  <si>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</si>
  <si>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</si>
  <si>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</si>
  <si>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</si>
  <si>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</si>
  <si>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</si>
  <si>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</si>
  <si>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</si>
  <si>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</si>
  <si>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</si>
  <si>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</si>
  <si>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</si>
  <si>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</si>
  <si>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</si>
  <si>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</si>
  <si>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</si>
  <si>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</si>
  <si>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</si>
  <si>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</si>
  <si>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</si>
  <si>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</si>
  <si>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</si>
  <si>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</si>
  <si>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</si>
  <si>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</si>
  <si>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</si>
  <si>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</si>
  <si>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</si>
  <si>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</si>
  <si>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</si>
  <si>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</si>
  <si>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</si>
  <si>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</si>
  <si>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</si>
  <si>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</si>
  <si>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</si>
  <si>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</si>
  <si>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</si>
  <si>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</si>
  <si>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</si>
  <si>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</si>
  <si>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</si>
  <si>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</si>
  <si>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</si>
  <si>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</si>
  <si>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</si>
  <si>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</si>
  <si>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</si>
  <si>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</si>
  <si>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</si>
  <si>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</si>
  <si>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</si>
  <si>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</si>
  <si>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</si>
  <si>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</si>
  <si>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</si>
  <si>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</si>
  <si>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</si>
  <si>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</si>
  <si>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</si>
  <si>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</si>
  <si>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</si>
  <si>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</si>
  <si>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</si>
  <si>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</si>
  <si>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</si>
  <si>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</si>
  <si>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</si>
  <si>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</si>
  <si>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</si>
  <si>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</si>
  <si>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</si>
  <si>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</si>
  <si>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</si>
  <si>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</si>
  <si>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</si>
  <si>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</si>
  <si>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</si>
  <si>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</si>
  <si>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</si>
  <si>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</si>
  <si>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</si>
  <si>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</si>
  <si>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</si>
  <si>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</si>
  <si>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</si>
  <si>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</si>
  <si>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</si>
  <si>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-P2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</si>
  <si>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</si>
  <si>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</si>
  <si>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</si>
  <si>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</si>
  <si>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</si>
  <si>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</si>
  <si>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</si>
  <si>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</si>
  <si>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</si>
  <si>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</si>
  <si>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</si>
  <si>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</si>
  <si>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</si>
  <si>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</si>
  <si>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</si>
  <si>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</si>
  <si>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</si>
  <si>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</si>
  <si>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</si>
  <si>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</si>
  <si>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</si>
  <si>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</si>
  <si>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</si>
  <si>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</si>
  <si>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</si>
  <si>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</si>
  <si>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</si>
  <si>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</si>
  <si>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</si>
  <si>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</si>
  <si>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</si>
  <si>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</si>
  <si>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</si>
  <si>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</si>
  <si>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</si>
  <si>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</si>
  <si>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</si>
  <si>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</si>
  <si>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</si>
  <si>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</si>
  <si>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</si>
  <si>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</si>
  <si>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</si>
  <si>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</si>
  <si>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</si>
  <si>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</si>
  <si>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</si>
  <si>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</si>
  <si>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</si>
  <si>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</si>
  <si>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</si>
  <si>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</si>
  <si>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</si>
  <si>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</si>
  <si>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</si>
  <si>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</si>
  <si>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</si>
  <si>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</si>
  <si>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</si>
  <si>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</si>
  <si>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</si>
  <si>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</si>
  <si>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</si>
  <si>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</si>
  <si>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</si>
  <si>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</si>
  <si>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</si>
  <si>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</si>
  <si>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</si>
  <si>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</si>
  <si>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</si>
  <si>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</si>
  <si>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</si>
  <si>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</si>
  <si>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</si>
  <si>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</si>
  <si>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</si>
  <si>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</si>
  <si>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</si>
  <si>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</si>
  <si>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</si>
  <si>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</si>
  <si>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</si>
  <si>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</si>
  <si>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</si>
  <si>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</si>
  <si>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</si>
  <si>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</si>
  <si>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</si>
  <si>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</si>
  <si>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</si>
  <si>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</si>
  <si>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</si>
  <si>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</si>
  <si>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</si>
  <si>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</si>
  <si>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</si>
  <si>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</si>
  <si>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</si>
  <si>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</si>
  <si>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</si>
  <si>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</si>
  <si>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</si>
  <si>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</si>
  <si>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</si>
  <si>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</si>
  <si>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</si>
  <si>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</si>
  <si>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</si>
  <si>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</si>
  <si>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</si>
  <si>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</si>
  <si>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</si>
  <si>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</si>
  <si>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</si>
  <si>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</si>
  <si>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</si>
  <si>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</si>
  <si>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</si>
  <si>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</si>
  <si>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=SOMMA(M34:V34)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</si>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</sst>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5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22" fillId="0" borderId="0" xfId="0" applyNumberFormat="1" applyFont="1" applyProtection="1">
      <protection locked="0"/>
    </xf>
    <xf numFmtId="49" fontId="0" fillId="16" borderId="0" xfId="0" applyNumberFormat="1" applyFill="1"/>
    <xf numFmtId="165" fontId="0" fillId="16" borderId="0" xfId="0" applyNumberFormat="1" applyFill="1"/>
    <xf numFmtId="0" fontId="0" fillId="0" borderId="0" xfId="0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>
      <alignment horizontal="right"/>
    </xf>
    <xf numFmtId="165" fontId="0" fillId="0" borderId="0" xfId="0" applyNumberFormat="1" applyAlignment="1">
      <alignment horizontal="left"/>
    </xf>
    <xf numFmtId="0" fontId="23" fillId="0" borderId="0" xfId="0" applyFont="1"/>
    <xf numFmtId="0" fontId="24" fillId="13" borderId="0" xfId="0" applyFont="1" applyFill="1" applyAlignment="1">
      <alignment horizontal="center" vertical="center"/>
    </xf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7" borderId="0" xfId="0" applyFont="1" applyFill="1"/>
    <xf numFmtId="0" fontId="0" fillId="19" borderId="0" xfId="0" applyFill="1"/>
    <xf numFmtId="0" fontId="23" fillId="18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0" fillId="23" borderId="0" xfId="0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  <xf numFmtId="49" fontId="0" fillId="23" borderId="0" xfId="0" applyNumberFormat="1" applyFill="1" applyProtection="1">
      <protection locked="0"/>
    </xf>
    <xf numFmtId="165" fontId="0" fillId="23" borderId="0" xfId="0" applyNumberFormat="1" applyFill="1" applyAlignment="1" applyProtection="1">
      <alignment horizontal="right"/>
      <protection locked="0"/>
    </xf>
    <xf numFmtId="0" fontId="0" fillId="23" borderId="0" xfId="0" applyFill="1" applyProtection="1">
      <protection locked="0"/>
    </xf>
    <xf numFmtId="165" fontId="0" fillId="23" borderId="0" xfId="0" applyNumberFormat="1" applyFill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V55"/>
  <sheetViews>
    <sheetView zoomScale="80" zoomScaleNormal="80" workbookViewId="0">
      <pane ySplit="7" topLeftCell="A29" activePane="bottomLeft" state="frozen"/>
      <selection pane="bottomLeft" activeCell="O37" sqref="O37"/>
    </sheetView>
  </sheetViews>
  <sheetFormatPr defaultRowHeight="15"/>
  <cols>
    <col min="2" max="2" width="11.140625" customWidth="1"/>
    <col min="3" max="3" width="17.5703125" style="19" customWidth="1"/>
    <col min="4" max="4" width="19.85546875" style="19" customWidth="1"/>
    <col min="5" max="5" width="20.5703125" style="19" customWidth="1"/>
    <col min="6" max="6" width="24.7109375" style="19" customWidth="1"/>
    <col min="7" max="7" width="16.7109375" style="19" customWidth="1"/>
    <col min="8" max="8" width="15.140625" style="19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4" t="s">
        <v>181</v>
      </c>
      <c r="F1" s="65"/>
      <c r="G1" s="65"/>
      <c r="H1" s="65"/>
      <c r="I1" s="65"/>
      <c r="J1" s="65"/>
    </row>
    <row r="2" spans="1:13">
      <c r="E2" s="65"/>
      <c r="F2" s="65"/>
      <c r="G2" s="65"/>
      <c r="H2" s="65"/>
      <c r="I2" s="65"/>
      <c r="J2" s="65"/>
    </row>
    <row r="3" spans="1:13">
      <c r="E3" s="65"/>
      <c r="F3" s="65"/>
      <c r="G3" s="65"/>
      <c r="H3" s="65"/>
      <c r="I3" s="65"/>
      <c r="J3" s="65"/>
    </row>
    <row r="4" spans="1:13">
      <c r="E4" s="65"/>
      <c r="F4" s="65"/>
      <c r="G4" s="65"/>
      <c r="H4" s="65"/>
      <c r="I4" s="65"/>
      <c r="J4" s="65"/>
    </row>
    <row r="5" spans="1:13">
      <c r="E5" s="65"/>
      <c r="F5" s="65"/>
      <c r="G5" s="65"/>
      <c r="H5" s="65"/>
      <c r="I5" s="65"/>
      <c r="J5" s="65"/>
    </row>
    <row r="7" spans="1:13" s="15" customFormat="1" ht="15.75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13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13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13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13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13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13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13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13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13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13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3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13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13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13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</row>
    <row r="32" spans="1:13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</row>
    <row r="33" spans="1:22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</row>
    <row r="34" spans="1:22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  <c r="M34" s="47">
        <v>8.0559999999999992</v>
      </c>
      <c r="N34" s="47">
        <v>6.0620000000000003</v>
      </c>
      <c r="O34" s="47">
        <v>5.6219999999999999</v>
      </c>
      <c r="P34" s="47">
        <v>5.2510000000000003</v>
      </c>
      <c r="Q34" s="47">
        <v>5.4320000000000004</v>
      </c>
      <c r="R34" s="47">
        <v>5.8070000000000004</v>
      </c>
      <c r="S34" s="47">
        <v>5.6390000000000002</v>
      </c>
      <c r="T34" s="47">
        <v>5.6870000000000003</v>
      </c>
      <c r="U34" s="47">
        <v>5.94</v>
      </c>
      <c r="V34" s="48" t="s">
        <v>307</v>
      </c>
    </row>
    <row r="35" spans="1:22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</row>
    <row r="36" spans="1:22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19" t="s">
        <v>308</v>
      </c>
    </row>
    <row r="37" spans="1:22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  <c r="O37">
        <v>59.033000000000001</v>
      </c>
    </row>
    <row r="38" spans="1:22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</row>
    <row r="39" spans="1:22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</row>
    <row r="40" spans="1:22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  <c r="M40" s="47">
        <v>8.0559999999999992</v>
      </c>
      <c r="N40" s="47">
        <v>6.0620000000000003</v>
      </c>
      <c r="O40" s="47">
        <v>5.6219999999999999</v>
      </c>
      <c r="P40" s="47">
        <v>5.2510000000000003</v>
      </c>
      <c r="Q40" s="47">
        <v>5.4320000000000004</v>
      </c>
      <c r="R40" s="47">
        <v>5.8070000000000004</v>
      </c>
      <c r="S40" s="47">
        <v>5.6390000000000002</v>
      </c>
      <c r="T40" s="47">
        <v>5.6870000000000003</v>
      </c>
      <c r="U40" s="47">
        <v>5.94</v>
      </c>
      <c r="V40" s="47" t="s">
        <v>307</v>
      </c>
    </row>
    <row r="41" spans="1:22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</row>
    <row r="42" spans="1:22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</row>
    <row r="43" spans="1:22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  <c r="N43" s="19">
        <f>SUM(M40:V40)</f>
        <v>53.496000000000002</v>
      </c>
    </row>
    <row r="44" spans="1:22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</row>
    <row r="45" spans="1:22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</row>
    <row r="46" spans="1:22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  <c r="M46" s="47">
        <v>8.0559999999999992</v>
      </c>
      <c r="N46" s="47">
        <v>6.0620000000000003</v>
      </c>
      <c r="O46" s="47">
        <v>5.6219999999999999</v>
      </c>
      <c r="P46" s="47">
        <v>5.2510000000000003</v>
      </c>
      <c r="Q46" s="47">
        <v>5.4320000000000004</v>
      </c>
      <c r="R46" s="47">
        <v>5.8070000000000004</v>
      </c>
      <c r="S46" s="47">
        <v>5.6390000000000002</v>
      </c>
      <c r="T46" s="47">
        <v>5.6870000000000003</v>
      </c>
      <c r="U46" s="47">
        <v>5.94</v>
      </c>
      <c r="V46" s="47" t="s">
        <v>307</v>
      </c>
    </row>
    <row r="47" spans="1:22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</row>
    <row r="48" spans="1:22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  <c r="S48" s="19">
        <f>SUM(M46:U46)</f>
        <v>53.496000000000002</v>
      </c>
    </row>
    <row r="49" spans="1:19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</row>
    <row r="50" spans="1:19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  <c r="S50" s="48">
        <v>60.95</v>
      </c>
    </row>
    <row r="51" spans="1:19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</row>
    <row r="52" spans="1:19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  <c r="S52" s="19">
        <f>S50-S48</f>
        <v>7.4540000000000006</v>
      </c>
    </row>
    <row r="53" spans="1:19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19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19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A23" sqref="A23:C25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4" t="s">
        <v>181</v>
      </c>
      <c r="F1" s="65"/>
      <c r="G1" s="65"/>
      <c r="H1" s="65"/>
      <c r="I1" s="65"/>
      <c r="J1" s="65"/>
      <c r="K1" s="65"/>
      <c r="L1" s="65"/>
      <c r="M1" s="65"/>
      <c r="N1" s="65"/>
      <c r="O1" s="2"/>
    </row>
    <row r="2" spans="1:20" ht="15">
      <c r="A2"/>
      <c r="B2" t="s">
        <v>6</v>
      </c>
      <c r="C2"/>
      <c r="D2" s="2"/>
      <c r="E2" s="65"/>
      <c r="F2" s="65"/>
      <c r="G2" s="65"/>
      <c r="H2" s="65"/>
      <c r="I2" s="65"/>
      <c r="J2" s="65"/>
      <c r="K2" s="65"/>
      <c r="L2" s="65"/>
      <c r="M2" s="65"/>
      <c r="N2" s="65"/>
      <c r="O2" s="2"/>
    </row>
    <row r="3" spans="1:20" ht="15">
      <c r="A3"/>
      <c r="B3" t="s">
        <v>7</v>
      </c>
      <c r="C3"/>
      <c r="D3" s="2"/>
      <c r="E3" s="65"/>
      <c r="F3" s="65"/>
      <c r="G3" s="65"/>
      <c r="H3" s="65"/>
      <c r="I3" s="65"/>
      <c r="J3" s="65"/>
      <c r="K3" s="65"/>
      <c r="L3" s="65"/>
      <c r="M3" s="65"/>
      <c r="N3" s="65"/>
      <c r="O3" s="2"/>
    </row>
    <row r="4" spans="1:20" ht="15">
      <c r="A4"/>
      <c r="B4" t="s">
        <v>31</v>
      </c>
      <c r="C4"/>
      <c r="D4" s="2"/>
      <c r="E4" s="65"/>
      <c r="F4" s="65"/>
      <c r="G4" s="65"/>
      <c r="H4" s="65"/>
      <c r="I4" s="65"/>
      <c r="J4" s="65"/>
      <c r="K4" s="65"/>
      <c r="L4" s="65"/>
      <c r="M4" s="65"/>
      <c r="N4" s="65"/>
      <c r="O4" s="2"/>
    </row>
    <row r="5" spans="1:20" ht="15">
      <c r="A5"/>
      <c r="B5"/>
      <c r="C5"/>
      <c r="E5" s="65"/>
      <c r="F5" s="65"/>
      <c r="G5" s="65"/>
      <c r="H5" s="65"/>
      <c r="I5" s="65"/>
      <c r="J5" s="65"/>
      <c r="K5" s="65"/>
      <c r="L5" s="65"/>
      <c r="M5" s="65"/>
      <c r="N5" s="65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66" t="s">
        <v>6</v>
      </c>
      <c r="B8" s="66">
        <v>1</v>
      </c>
      <c r="C8" s="66">
        <v>1</v>
      </c>
      <c r="D8" s="93" t="s">
        <v>116</v>
      </c>
      <c r="E8" s="93" t="s">
        <v>117</v>
      </c>
      <c r="F8" s="93" t="s">
        <v>118</v>
      </c>
      <c r="G8" s="93" t="s">
        <v>122</v>
      </c>
      <c r="H8" s="94">
        <v>8.9930000000000003</v>
      </c>
      <c r="I8" s="94">
        <v>5.75</v>
      </c>
      <c r="J8" s="94">
        <v>5.5289999999999999</v>
      </c>
      <c r="K8" s="94">
        <v>5.5190000000000001</v>
      </c>
      <c r="L8" s="94">
        <v>5.8730000000000002</v>
      </c>
      <c r="M8" s="94">
        <v>5.6340000000000003</v>
      </c>
      <c r="N8" s="94">
        <v>5.6379999999999999</v>
      </c>
      <c r="O8" s="94">
        <v>5.7830000000000004</v>
      </c>
      <c r="P8" s="94">
        <v>5.4050000000000002</v>
      </c>
      <c r="Q8" s="94">
        <v>5.8579999999999997</v>
      </c>
      <c r="R8" s="95">
        <v>59.981999999999999</v>
      </c>
      <c r="S8" s="96">
        <v>0</v>
      </c>
      <c r="T8" s="97">
        <v>59.981999999999999</v>
      </c>
    </row>
    <row r="9" spans="1:20" s="14" customFormat="1" ht="14.45" customHeight="1">
      <c r="A9" s="66"/>
      <c r="B9" s="66"/>
      <c r="C9" s="66"/>
      <c r="D9" s="93" t="s">
        <v>119</v>
      </c>
      <c r="E9" s="93" t="s">
        <v>120</v>
      </c>
      <c r="F9" s="93" t="s">
        <v>121</v>
      </c>
      <c r="G9" s="93" t="s">
        <v>120</v>
      </c>
      <c r="H9" s="94">
        <v>9.7409999999999997</v>
      </c>
      <c r="I9" s="94">
        <v>5.8849999999999998</v>
      </c>
      <c r="J9" s="94">
        <v>5.367</v>
      </c>
      <c r="K9" s="94">
        <v>5.915</v>
      </c>
      <c r="L9" s="94">
        <v>5.4980000000000002</v>
      </c>
      <c r="M9" s="94">
        <v>5.4939999999999998</v>
      </c>
      <c r="N9" s="94">
        <v>6.1689999999999996</v>
      </c>
      <c r="O9" s="94">
        <v>5.609</v>
      </c>
      <c r="P9" s="94">
        <v>5.7119999999999997</v>
      </c>
      <c r="Q9" s="94">
        <v>5.5750000000000002</v>
      </c>
      <c r="R9" s="95">
        <v>60.965000000000003</v>
      </c>
      <c r="S9" s="96">
        <v>0</v>
      </c>
      <c r="T9" s="97">
        <v>60.965000000000003</v>
      </c>
    </row>
    <row r="10" spans="1:20" s="14" customFormat="1" ht="14.45" customHeight="1">
      <c r="A10" s="66"/>
      <c r="B10" s="66"/>
      <c r="C10" s="66"/>
      <c r="D10" s="93" t="s">
        <v>40</v>
      </c>
      <c r="E10" s="93" t="s">
        <v>40</v>
      </c>
      <c r="F10" s="93" t="s">
        <v>41</v>
      </c>
      <c r="G10" s="93" t="s">
        <v>41</v>
      </c>
      <c r="H10" s="94" t="s">
        <v>185</v>
      </c>
      <c r="I10" s="94" t="s">
        <v>185</v>
      </c>
      <c r="J10" s="94" t="s">
        <v>185</v>
      </c>
      <c r="K10" s="94" t="s">
        <v>185</v>
      </c>
      <c r="L10" s="94" t="s">
        <v>185</v>
      </c>
      <c r="M10" s="94" t="s">
        <v>185</v>
      </c>
      <c r="N10" s="94" t="s">
        <v>185</v>
      </c>
      <c r="O10" s="94" t="s">
        <v>185</v>
      </c>
      <c r="P10" s="94" t="s">
        <v>185</v>
      </c>
      <c r="Q10" s="94" t="s">
        <v>185</v>
      </c>
      <c r="R10" s="95" t="s">
        <v>185</v>
      </c>
      <c r="S10" s="96">
        <v>0</v>
      </c>
      <c r="T10" s="97">
        <v>200</v>
      </c>
    </row>
    <row r="11" spans="1:20" s="14" customFormat="1" ht="14.45" customHeight="1">
      <c r="A11" s="66" t="s">
        <v>7</v>
      </c>
      <c r="B11" s="66">
        <v>1</v>
      </c>
      <c r="C11" s="66">
        <v>1</v>
      </c>
      <c r="D11" s="93" t="s">
        <v>68</v>
      </c>
      <c r="E11" s="93" t="s">
        <v>63</v>
      </c>
      <c r="F11" s="93" t="s">
        <v>142</v>
      </c>
      <c r="G11" s="93" t="s">
        <v>63</v>
      </c>
      <c r="H11" s="94">
        <v>8.83</v>
      </c>
      <c r="I11" s="94">
        <v>6.2469999999999999</v>
      </c>
      <c r="J11" s="94">
        <v>6.0389999999999997</v>
      </c>
      <c r="K11" s="94">
        <v>5.3129999999999997</v>
      </c>
      <c r="L11" s="94">
        <v>5.8040000000000003</v>
      </c>
      <c r="M11" s="94" t="s">
        <v>189</v>
      </c>
      <c r="N11" s="94" t="s">
        <v>186</v>
      </c>
      <c r="O11" s="94" t="s">
        <v>185</v>
      </c>
      <c r="P11" s="94" t="s">
        <v>185</v>
      </c>
      <c r="Q11" s="94" t="s">
        <v>185</v>
      </c>
      <c r="R11" s="95" t="s">
        <v>185</v>
      </c>
      <c r="S11" s="96">
        <v>2</v>
      </c>
      <c r="T11" s="97">
        <v>200</v>
      </c>
    </row>
    <row r="12" spans="1:20" s="14" customFormat="1" ht="14.45" customHeight="1">
      <c r="A12" s="66"/>
      <c r="B12" s="66"/>
      <c r="C12" s="66"/>
      <c r="D12" s="93" t="s">
        <v>64</v>
      </c>
      <c r="E12" s="93" t="s">
        <v>65</v>
      </c>
      <c r="F12" s="93" t="s">
        <v>143</v>
      </c>
      <c r="G12" s="93" t="s">
        <v>144</v>
      </c>
      <c r="H12" s="94">
        <v>19.173999999999999</v>
      </c>
      <c r="I12" s="94">
        <v>6.3979999999999997</v>
      </c>
      <c r="J12" s="94">
        <v>5.319</v>
      </c>
      <c r="K12" s="94" t="s">
        <v>188</v>
      </c>
      <c r="L12" s="94">
        <v>5.359</v>
      </c>
      <c r="M12" s="94">
        <v>5.7220000000000004</v>
      </c>
      <c r="N12" s="94">
        <v>5.9980000000000002</v>
      </c>
      <c r="O12" s="94">
        <v>6.2359999999999998</v>
      </c>
      <c r="P12" s="94">
        <v>6.548</v>
      </c>
      <c r="Q12" s="94">
        <v>6.4429999999999996</v>
      </c>
      <c r="R12" s="95">
        <v>73.311999999999998</v>
      </c>
      <c r="S12" s="96">
        <v>1</v>
      </c>
      <c r="T12" s="97">
        <v>80.643200000000007</v>
      </c>
    </row>
    <row r="13" spans="1:20" s="14" customFormat="1" ht="14.45" customHeight="1">
      <c r="A13" s="66"/>
      <c r="B13" s="66"/>
      <c r="C13" s="66"/>
      <c r="D13" s="93" t="s">
        <v>53</v>
      </c>
      <c r="E13" s="93" t="s">
        <v>54</v>
      </c>
      <c r="F13" s="93" t="s">
        <v>130</v>
      </c>
      <c r="G13" s="93" t="s">
        <v>131</v>
      </c>
      <c r="H13" s="94">
        <v>8.9480000000000004</v>
      </c>
      <c r="I13" s="94">
        <v>5.7939999999999996</v>
      </c>
      <c r="J13" s="94">
        <v>5.9130000000000003</v>
      </c>
      <c r="K13" s="94">
        <v>5.8120000000000003</v>
      </c>
      <c r="L13" s="94" t="s">
        <v>215</v>
      </c>
      <c r="M13" s="94">
        <v>6.0839999999999996</v>
      </c>
      <c r="N13" s="94">
        <v>6.2430000000000003</v>
      </c>
      <c r="O13" s="94">
        <v>6.08</v>
      </c>
      <c r="P13" s="94">
        <v>6.3940000000000001</v>
      </c>
      <c r="Q13" s="94">
        <v>6.4359999999999999</v>
      </c>
      <c r="R13" s="95">
        <v>63.619</v>
      </c>
      <c r="S13" s="96">
        <v>1</v>
      </c>
      <c r="T13" s="97">
        <v>69.980900000000005</v>
      </c>
    </row>
    <row r="14" spans="1:20" s="14" customFormat="1" ht="14.45" customHeight="1">
      <c r="A14" s="66" t="s">
        <v>7</v>
      </c>
      <c r="B14" s="66">
        <v>1</v>
      </c>
      <c r="C14" s="66">
        <v>2</v>
      </c>
      <c r="D14" s="93" t="s">
        <v>128</v>
      </c>
      <c r="E14" s="93" t="s">
        <v>129</v>
      </c>
      <c r="F14" s="93" t="s">
        <v>58</v>
      </c>
      <c r="G14" s="93" t="s">
        <v>127</v>
      </c>
      <c r="H14" s="94">
        <v>8.6859999999999999</v>
      </c>
      <c r="I14" s="94" t="s">
        <v>190</v>
      </c>
      <c r="J14" s="94">
        <v>6.4530000000000003</v>
      </c>
      <c r="K14" s="94">
        <v>6.7480000000000002</v>
      </c>
      <c r="L14" s="94">
        <v>6.3230000000000004</v>
      </c>
      <c r="M14" s="94">
        <v>6.55</v>
      </c>
      <c r="N14" s="94">
        <v>7.3630000000000004</v>
      </c>
      <c r="O14" s="94">
        <v>7.3230000000000004</v>
      </c>
      <c r="P14" s="94">
        <v>7.0789999999999997</v>
      </c>
      <c r="Q14" s="94">
        <v>7.1539999999999999</v>
      </c>
      <c r="R14" s="95">
        <v>71.683999999999997</v>
      </c>
      <c r="S14" s="96">
        <v>1</v>
      </c>
      <c r="T14" s="97">
        <v>78.852400000000003</v>
      </c>
    </row>
    <row r="15" spans="1:20" s="14" customFormat="1" ht="14.45" customHeight="1">
      <c r="A15" s="66"/>
      <c r="B15" s="66"/>
      <c r="C15" s="66"/>
      <c r="D15" s="93" t="s">
        <v>157</v>
      </c>
      <c r="E15" s="93" t="s">
        <v>184</v>
      </c>
      <c r="F15" s="93" t="s">
        <v>155</v>
      </c>
      <c r="G15" s="93" t="s">
        <v>156</v>
      </c>
      <c r="H15" s="94" t="s">
        <v>192</v>
      </c>
      <c r="I15" s="94">
        <v>6.351</v>
      </c>
      <c r="J15" s="94">
        <v>6.3390000000000004</v>
      </c>
      <c r="K15" s="94">
        <v>5.9859999999999998</v>
      </c>
      <c r="L15" s="94">
        <v>6.2160000000000002</v>
      </c>
      <c r="M15" s="94">
        <v>5.931</v>
      </c>
      <c r="N15" s="94">
        <v>6.3550000000000004</v>
      </c>
      <c r="O15" s="94">
        <v>6.1139999999999999</v>
      </c>
      <c r="P15" s="94">
        <v>6.45</v>
      </c>
      <c r="Q15" s="94">
        <v>6.1180000000000003</v>
      </c>
      <c r="R15" s="95">
        <v>65.581999999999994</v>
      </c>
      <c r="S15" s="96">
        <v>1</v>
      </c>
      <c r="T15" s="97">
        <v>72.14</v>
      </c>
    </row>
    <row r="16" spans="1:20" s="14" customFormat="1" ht="14.45" customHeight="1">
      <c r="A16" s="66"/>
      <c r="B16" s="66"/>
      <c r="C16" s="66"/>
      <c r="D16" s="93" t="s">
        <v>142</v>
      </c>
      <c r="E16" s="93" t="s">
        <v>63</v>
      </c>
      <c r="F16" s="93" t="s">
        <v>62</v>
      </c>
      <c r="G16" s="93" t="s">
        <v>63</v>
      </c>
      <c r="H16" s="94">
        <v>9.3360000000000003</v>
      </c>
      <c r="I16" s="94">
        <v>6.2290000000000001</v>
      </c>
      <c r="J16" s="94">
        <v>6.2409999999999997</v>
      </c>
      <c r="K16" s="94">
        <v>6.1109999999999998</v>
      </c>
      <c r="L16" s="94">
        <v>6.0919999999999996</v>
      </c>
      <c r="M16" s="94">
        <v>5.9050000000000002</v>
      </c>
      <c r="N16" s="94">
        <v>6.2759999999999998</v>
      </c>
      <c r="O16" s="94">
        <v>5.9989999999999997</v>
      </c>
      <c r="P16" s="94">
        <v>6.01</v>
      </c>
      <c r="Q16" s="94">
        <v>6.133</v>
      </c>
      <c r="R16" s="95">
        <v>64.331999999999994</v>
      </c>
      <c r="S16" s="96">
        <v>0</v>
      </c>
      <c r="T16" s="97">
        <v>64.331999999999994</v>
      </c>
    </row>
    <row r="17" spans="1:20" s="14" customFormat="1" ht="14.45" customHeight="1">
      <c r="A17" s="66" t="s">
        <v>7</v>
      </c>
      <c r="B17" s="66">
        <v>1</v>
      </c>
      <c r="C17" s="66">
        <v>3</v>
      </c>
      <c r="D17" s="93" t="s">
        <v>51</v>
      </c>
      <c r="E17" s="93" t="s">
        <v>183</v>
      </c>
      <c r="F17" s="93" t="s">
        <v>130</v>
      </c>
      <c r="G17" s="93" t="s">
        <v>131</v>
      </c>
      <c r="H17" s="94">
        <v>10.124000000000001</v>
      </c>
      <c r="I17" s="94" t="s">
        <v>191</v>
      </c>
      <c r="J17" s="94">
        <v>9.2360000000000007</v>
      </c>
      <c r="K17" s="94">
        <v>6.1159999999999997</v>
      </c>
      <c r="L17" s="94">
        <v>5.9249999999999998</v>
      </c>
      <c r="M17" s="94">
        <v>6.1669999999999998</v>
      </c>
      <c r="N17" s="94">
        <v>5.6950000000000003</v>
      </c>
      <c r="O17" s="94">
        <v>6.0949999999999998</v>
      </c>
      <c r="P17" s="94">
        <v>6.4610000000000003</v>
      </c>
      <c r="Q17" s="94">
        <v>6.532</v>
      </c>
      <c r="R17" s="95">
        <v>68.331000000000003</v>
      </c>
      <c r="S17" s="96">
        <v>1</v>
      </c>
      <c r="T17" s="97">
        <v>75.164100000000005</v>
      </c>
    </row>
    <row r="18" spans="1:20" s="14" customFormat="1" ht="14.45" customHeight="1">
      <c r="A18" s="66"/>
      <c r="B18" s="66"/>
      <c r="C18" s="66"/>
      <c r="D18" s="93" t="s">
        <v>66</v>
      </c>
      <c r="E18" s="93" t="s">
        <v>67</v>
      </c>
      <c r="F18" s="93" t="s">
        <v>43</v>
      </c>
      <c r="G18" s="93" t="s">
        <v>46</v>
      </c>
      <c r="H18" s="94" t="s">
        <v>185</v>
      </c>
      <c r="I18" s="94" t="s">
        <v>185</v>
      </c>
      <c r="J18" s="94" t="s">
        <v>185</v>
      </c>
      <c r="K18" s="94" t="s">
        <v>185</v>
      </c>
      <c r="L18" s="94" t="s">
        <v>185</v>
      </c>
      <c r="M18" s="94" t="s">
        <v>185</v>
      </c>
      <c r="N18" s="94" t="s">
        <v>185</v>
      </c>
      <c r="O18" s="94" t="s">
        <v>185</v>
      </c>
      <c r="P18" s="94" t="s">
        <v>185</v>
      </c>
      <c r="Q18" s="94" t="s">
        <v>185</v>
      </c>
      <c r="R18" s="95" t="s">
        <v>185</v>
      </c>
      <c r="S18" s="96">
        <v>0</v>
      </c>
      <c r="T18" s="97">
        <v>200</v>
      </c>
    </row>
    <row r="19" spans="1:20" s="14" customFormat="1" ht="14.45" customHeight="1">
      <c r="A19" s="66"/>
      <c r="B19" s="66"/>
      <c r="C19" s="66"/>
      <c r="D19" s="93" t="s">
        <v>56</v>
      </c>
      <c r="E19" s="93" t="s">
        <v>57</v>
      </c>
      <c r="F19" s="93" t="s">
        <v>52</v>
      </c>
      <c r="G19" s="93" t="s">
        <v>125</v>
      </c>
      <c r="H19" s="94">
        <v>8.266</v>
      </c>
      <c r="I19" s="94">
        <v>6.524</v>
      </c>
      <c r="J19" s="94">
        <v>6.4169999999999998</v>
      </c>
      <c r="K19" s="94">
        <v>6.7039999999999997</v>
      </c>
      <c r="L19" s="94">
        <v>6.625</v>
      </c>
      <c r="M19" s="94">
        <v>6.5259999999999998</v>
      </c>
      <c r="N19" s="94">
        <v>6.6319999999999997</v>
      </c>
      <c r="O19" s="94">
        <v>6.2690000000000001</v>
      </c>
      <c r="P19" s="94">
        <v>6.6219999999999999</v>
      </c>
      <c r="Q19" s="94">
        <v>6.5279999999999996</v>
      </c>
      <c r="R19" s="95">
        <v>67.113</v>
      </c>
      <c r="S19" s="96">
        <v>0</v>
      </c>
      <c r="T19" s="97">
        <v>67.113</v>
      </c>
    </row>
    <row r="20" spans="1:20" s="14" customFormat="1" ht="14.45" customHeight="1">
      <c r="A20" s="66" t="s">
        <v>7</v>
      </c>
      <c r="B20" s="66">
        <v>1</v>
      </c>
      <c r="C20" s="66">
        <v>4</v>
      </c>
      <c r="D20" s="93" t="s">
        <v>123</v>
      </c>
      <c r="E20" s="93" t="s">
        <v>124</v>
      </c>
      <c r="F20" s="93" t="s">
        <v>121</v>
      </c>
      <c r="G20" s="93" t="s">
        <v>120</v>
      </c>
      <c r="H20" s="94">
        <v>11.173</v>
      </c>
      <c r="I20" s="94">
        <v>6.069</v>
      </c>
      <c r="J20" s="94">
        <v>7.0469999999999997</v>
      </c>
      <c r="K20" s="94">
        <v>6.7539999999999996</v>
      </c>
      <c r="L20" s="94">
        <v>6.101</v>
      </c>
      <c r="M20" s="94">
        <v>7.0529999999999999</v>
      </c>
      <c r="N20" s="94">
        <v>7.0609999999999999</v>
      </c>
      <c r="O20" s="94">
        <v>6.6210000000000004</v>
      </c>
      <c r="P20" s="94">
        <v>7.3090000000000002</v>
      </c>
      <c r="Q20" s="94">
        <v>7.5140000000000002</v>
      </c>
      <c r="R20" s="95">
        <v>72.701999999999998</v>
      </c>
      <c r="S20" s="96">
        <v>0</v>
      </c>
      <c r="T20" s="97">
        <v>72.701999999999998</v>
      </c>
    </row>
    <row r="21" spans="1:20" s="14" customFormat="1" ht="14.45" customHeight="1">
      <c r="A21" s="66"/>
      <c r="B21" s="66"/>
      <c r="C21" s="66"/>
      <c r="D21" s="93" t="s">
        <v>49</v>
      </c>
      <c r="E21" s="93" t="s">
        <v>148</v>
      </c>
      <c r="F21" s="93" t="s">
        <v>52</v>
      </c>
      <c r="G21" s="93" t="s">
        <v>125</v>
      </c>
      <c r="H21" s="94">
        <v>9.3290000000000006</v>
      </c>
      <c r="I21" s="94">
        <v>6.351</v>
      </c>
      <c r="J21" s="94">
        <v>5.4379999999999997</v>
      </c>
      <c r="K21" s="94">
        <v>5.6429999999999998</v>
      </c>
      <c r="L21" s="94">
        <v>5.8010000000000002</v>
      </c>
      <c r="M21" s="94">
        <v>5.8630000000000004</v>
      </c>
      <c r="N21" s="94">
        <v>5.798</v>
      </c>
      <c r="O21" s="94">
        <v>5.9139999999999997</v>
      </c>
      <c r="P21" s="94">
        <v>6.0919999999999996</v>
      </c>
      <c r="Q21" s="94">
        <v>5.3810000000000002</v>
      </c>
      <c r="R21" s="95">
        <v>61.61</v>
      </c>
      <c r="S21" s="96">
        <v>0</v>
      </c>
      <c r="T21" s="97">
        <v>61.61</v>
      </c>
    </row>
    <row r="22" spans="1:20" s="14" customFormat="1" ht="14.45" customHeight="1">
      <c r="A22" s="66"/>
      <c r="B22" s="66"/>
      <c r="C22" s="66"/>
      <c r="D22" s="93" t="s">
        <v>132</v>
      </c>
      <c r="E22" s="93" t="s">
        <v>133</v>
      </c>
      <c r="F22" s="93" t="s">
        <v>160</v>
      </c>
      <c r="G22" s="93" t="s">
        <v>159</v>
      </c>
      <c r="H22" s="94">
        <v>9.6140000000000008</v>
      </c>
      <c r="I22" s="94" t="s">
        <v>193</v>
      </c>
      <c r="J22" s="94">
        <v>6.726</v>
      </c>
      <c r="K22" s="94">
        <v>6.5339999999999998</v>
      </c>
      <c r="L22" s="94" t="s">
        <v>187</v>
      </c>
      <c r="M22" s="94" t="s">
        <v>185</v>
      </c>
      <c r="N22" s="94" t="s">
        <v>185</v>
      </c>
      <c r="O22" s="94" t="s">
        <v>185</v>
      </c>
      <c r="P22" s="94" t="s">
        <v>185</v>
      </c>
      <c r="Q22" s="94" t="s">
        <v>185</v>
      </c>
      <c r="R22" s="95" t="s">
        <v>185</v>
      </c>
      <c r="S22" s="96">
        <v>2</v>
      </c>
      <c r="T22" s="97">
        <v>200</v>
      </c>
    </row>
    <row r="23" spans="1:20" s="14" customFormat="1" ht="14.45" customHeight="1">
      <c r="A23" s="66" t="s">
        <v>7</v>
      </c>
      <c r="B23" s="66">
        <v>1</v>
      </c>
      <c r="C23" s="66">
        <v>5</v>
      </c>
      <c r="D23" s="78" t="s">
        <v>52</v>
      </c>
      <c r="E23" s="78" t="s">
        <v>125</v>
      </c>
      <c r="F23" s="78" t="s">
        <v>56</v>
      </c>
      <c r="G23" s="78" t="s">
        <v>57</v>
      </c>
      <c r="H23" s="79" t="s">
        <v>185</v>
      </c>
      <c r="I23" s="79" t="s">
        <v>185</v>
      </c>
      <c r="J23" s="79" t="s">
        <v>185</v>
      </c>
      <c r="K23" s="79" t="s">
        <v>185</v>
      </c>
      <c r="L23" s="79" t="s">
        <v>185</v>
      </c>
      <c r="M23" s="79" t="s">
        <v>185</v>
      </c>
      <c r="N23" s="79" t="s">
        <v>185</v>
      </c>
      <c r="O23" s="79" t="s">
        <v>185</v>
      </c>
      <c r="P23" s="79" t="s">
        <v>185</v>
      </c>
      <c r="Q23" s="79" t="s">
        <v>185</v>
      </c>
      <c r="R23" s="80" t="s">
        <v>185</v>
      </c>
      <c r="S23" s="81">
        <v>0</v>
      </c>
      <c r="T23" s="82">
        <v>200</v>
      </c>
    </row>
    <row r="24" spans="1:20" s="14" customFormat="1" ht="14.45" customHeight="1">
      <c r="A24" s="66"/>
      <c r="B24" s="66"/>
      <c r="C24" s="66"/>
      <c r="D24" s="83" t="s">
        <v>177</v>
      </c>
      <c r="E24" s="83" t="s">
        <v>178</v>
      </c>
      <c r="F24" s="83" t="s">
        <v>45</v>
      </c>
      <c r="G24" s="83" t="s">
        <v>44</v>
      </c>
      <c r="H24" s="84">
        <v>11.148</v>
      </c>
      <c r="I24" s="84">
        <v>7.3070000000000004</v>
      </c>
      <c r="J24" s="84">
        <v>7.0259999999999998</v>
      </c>
      <c r="K24" s="84">
        <v>7.1950000000000003</v>
      </c>
      <c r="L24" s="84">
        <v>7.7469999999999999</v>
      </c>
      <c r="M24" s="84">
        <v>7.5149999999999997</v>
      </c>
      <c r="N24" s="84">
        <v>6.9160000000000004</v>
      </c>
      <c r="O24" s="84">
        <v>7.6180000000000003</v>
      </c>
      <c r="P24" s="84">
        <v>7.6040000000000001</v>
      </c>
      <c r="Q24" s="84">
        <v>6.4539999999999997</v>
      </c>
      <c r="R24" s="85">
        <v>76.53</v>
      </c>
      <c r="S24" s="86">
        <v>0</v>
      </c>
      <c r="T24" s="87">
        <v>76.53</v>
      </c>
    </row>
    <row r="25" spans="1:20" s="14" customFormat="1" ht="14.45" customHeight="1">
      <c r="A25" s="66"/>
      <c r="B25" s="66"/>
      <c r="C25" s="66"/>
      <c r="D25" s="88" t="s">
        <v>126</v>
      </c>
      <c r="E25" s="88" t="s">
        <v>127</v>
      </c>
      <c r="F25" s="88" t="s">
        <v>58</v>
      </c>
      <c r="G25" s="88" t="s">
        <v>127</v>
      </c>
      <c r="H25" s="89">
        <v>8.9220000000000006</v>
      </c>
      <c r="I25" s="89">
        <v>5.9660000000000002</v>
      </c>
      <c r="J25" s="89">
        <v>6.0049999999999999</v>
      </c>
      <c r="K25" s="89">
        <v>6.5350000000000001</v>
      </c>
      <c r="L25" s="89" t="s">
        <v>185</v>
      </c>
      <c r="M25" s="89" t="s">
        <v>185</v>
      </c>
      <c r="N25" s="89" t="s">
        <v>185</v>
      </c>
      <c r="O25" s="89" t="s">
        <v>185</v>
      </c>
      <c r="P25" s="89" t="s">
        <v>185</v>
      </c>
      <c r="Q25" s="89" t="s">
        <v>185</v>
      </c>
      <c r="R25" s="90" t="s">
        <v>185</v>
      </c>
      <c r="S25" s="91">
        <v>0</v>
      </c>
      <c r="T25" s="92">
        <v>200</v>
      </c>
    </row>
    <row r="26" spans="1:20" s="14" customFormat="1" ht="14.45" customHeight="1">
      <c r="A26" s="66" t="s">
        <v>7</v>
      </c>
      <c r="B26" s="66">
        <v>1</v>
      </c>
      <c r="C26" s="66">
        <v>6</v>
      </c>
      <c r="D26" s="98" t="s">
        <v>47</v>
      </c>
      <c r="E26" s="98" t="s">
        <v>48</v>
      </c>
      <c r="F26" s="98" t="s">
        <v>147</v>
      </c>
      <c r="G26" s="98" t="s">
        <v>48</v>
      </c>
      <c r="H26" s="99">
        <v>11.446999999999999</v>
      </c>
      <c r="I26" s="99">
        <v>6.67</v>
      </c>
      <c r="J26" s="99" t="s">
        <v>195</v>
      </c>
      <c r="K26" s="99">
        <v>6.2489999999999997</v>
      </c>
      <c r="L26" s="99">
        <v>6.9509999999999996</v>
      </c>
      <c r="M26" s="99">
        <v>6.6890000000000001</v>
      </c>
      <c r="N26" s="99">
        <v>7.54</v>
      </c>
      <c r="O26" s="99">
        <v>6.8609999999999998</v>
      </c>
      <c r="P26" s="99">
        <v>7.3150000000000004</v>
      </c>
      <c r="Q26" s="99">
        <v>7.508</v>
      </c>
      <c r="R26" s="100">
        <v>73.983999999999995</v>
      </c>
      <c r="S26" s="101">
        <v>1</v>
      </c>
      <c r="T26" s="102">
        <v>81.382400000000004</v>
      </c>
    </row>
    <row r="27" spans="1:20" s="14" customFormat="1" ht="14.45" customHeight="1">
      <c r="A27" s="66"/>
      <c r="B27" s="66"/>
      <c r="C27" s="66"/>
      <c r="D27" s="98" t="s">
        <v>40</v>
      </c>
      <c r="E27" s="98" t="s">
        <v>40</v>
      </c>
      <c r="F27" s="98" t="s">
        <v>41</v>
      </c>
      <c r="G27" s="98" t="s">
        <v>41</v>
      </c>
      <c r="H27" s="103" t="s">
        <v>185</v>
      </c>
      <c r="I27" s="103" t="s">
        <v>185</v>
      </c>
      <c r="J27" s="103" t="s">
        <v>185</v>
      </c>
      <c r="K27" s="103" t="s">
        <v>185</v>
      </c>
      <c r="L27" s="103" t="s">
        <v>185</v>
      </c>
      <c r="M27" s="103" t="s">
        <v>185</v>
      </c>
      <c r="N27" s="103" t="s">
        <v>185</v>
      </c>
      <c r="O27" s="103" t="s">
        <v>185</v>
      </c>
      <c r="P27" s="103" t="s">
        <v>185</v>
      </c>
      <c r="Q27" s="103" t="s">
        <v>185</v>
      </c>
      <c r="R27" s="104" t="s">
        <v>185</v>
      </c>
      <c r="S27" s="105">
        <v>0</v>
      </c>
      <c r="T27" s="106">
        <v>200</v>
      </c>
    </row>
    <row r="28" spans="1:20" s="14" customFormat="1" ht="14.45" customHeight="1">
      <c r="A28" s="66"/>
      <c r="B28" s="66"/>
      <c r="C28" s="66"/>
      <c r="D28" s="98" t="s">
        <v>62</v>
      </c>
      <c r="E28" s="98" t="s">
        <v>63</v>
      </c>
      <c r="F28" s="98" t="s">
        <v>68</v>
      </c>
      <c r="G28" s="98" t="s">
        <v>63</v>
      </c>
      <c r="H28" s="103">
        <v>10.446999999999999</v>
      </c>
      <c r="I28" s="103" t="s">
        <v>194</v>
      </c>
      <c r="J28" s="103">
        <v>6.5140000000000002</v>
      </c>
      <c r="K28" s="103">
        <v>6.1059999999999999</v>
      </c>
      <c r="L28" s="103">
        <v>6.2450000000000001</v>
      </c>
      <c r="M28" s="103">
        <v>6.3769999999999998</v>
      </c>
      <c r="N28" s="103">
        <v>11.544</v>
      </c>
      <c r="O28" s="103" t="s">
        <v>185</v>
      </c>
      <c r="P28" s="103" t="s">
        <v>185</v>
      </c>
      <c r="Q28" s="103" t="s">
        <v>185</v>
      </c>
      <c r="R28" s="104" t="s">
        <v>185</v>
      </c>
      <c r="S28" s="105">
        <v>1</v>
      </c>
      <c r="T28" s="106">
        <v>200</v>
      </c>
    </row>
    <row r="29" spans="1:20" s="14" customFormat="1" ht="14.45" customHeight="1">
      <c r="A29" s="66" t="s">
        <v>7</v>
      </c>
      <c r="B29" s="66">
        <v>1</v>
      </c>
      <c r="C29" s="66">
        <v>7</v>
      </c>
      <c r="D29" t="s">
        <v>50</v>
      </c>
      <c r="E29" t="s">
        <v>139</v>
      </c>
      <c r="F29" t="s">
        <v>49</v>
      </c>
      <c r="G29" t="s">
        <v>148</v>
      </c>
      <c r="H29" s="44">
        <v>10.44</v>
      </c>
      <c r="I29" s="44">
        <v>5.9489999999999998</v>
      </c>
      <c r="J29" s="44">
        <v>5.8890000000000002</v>
      </c>
      <c r="K29" s="44" t="s">
        <v>196</v>
      </c>
      <c r="L29" s="44">
        <v>5.4809999999999999</v>
      </c>
      <c r="M29" s="44">
        <v>6.2279999999999998</v>
      </c>
      <c r="N29" s="44">
        <v>6.0640000000000001</v>
      </c>
      <c r="O29" s="44">
        <v>5.3789999999999996</v>
      </c>
      <c r="P29" s="44">
        <v>6.5369999999999999</v>
      </c>
      <c r="Q29" s="44">
        <v>6.181</v>
      </c>
      <c r="R29" s="51">
        <v>64.733000000000004</v>
      </c>
      <c r="S29" s="14">
        <v>1</v>
      </c>
      <c r="T29" s="45">
        <v>71.206300000000013</v>
      </c>
    </row>
    <row r="30" spans="1:20" s="14" customFormat="1" ht="14.45" customHeight="1">
      <c r="A30" s="66"/>
      <c r="B30" s="66"/>
      <c r="C30" s="66"/>
      <c r="D30" t="s">
        <v>136</v>
      </c>
      <c r="E30" t="s">
        <v>137</v>
      </c>
      <c r="F30" t="s">
        <v>134</v>
      </c>
      <c r="G30" t="s">
        <v>135</v>
      </c>
      <c r="H30" s="44">
        <v>8.827</v>
      </c>
      <c r="I30" s="44">
        <v>6.3049999999999997</v>
      </c>
      <c r="J30" s="44">
        <v>6.3479999999999999</v>
      </c>
      <c r="K30" s="44" t="s">
        <v>197</v>
      </c>
      <c r="L30" s="44">
        <v>5.65</v>
      </c>
      <c r="M30" s="44">
        <v>6.0979999999999999</v>
      </c>
      <c r="N30" s="44">
        <v>6.0940000000000003</v>
      </c>
      <c r="O30" s="44">
        <v>6.2480000000000002</v>
      </c>
      <c r="P30" s="44">
        <v>5.931</v>
      </c>
      <c r="Q30" s="44">
        <v>6.1020000000000003</v>
      </c>
      <c r="R30" s="51">
        <v>63.338000000000001</v>
      </c>
      <c r="S30" s="14">
        <v>1</v>
      </c>
      <c r="T30" s="45">
        <v>69.671800000000005</v>
      </c>
    </row>
    <row r="31" spans="1:20" s="14" customFormat="1" ht="14.45" customHeight="1">
      <c r="A31" s="66"/>
      <c r="B31" s="66"/>
      <c r="C31" s="66"/>
      <c r="D31" t="s">
        <v>149</v>
      </c>
      <c r="E31" t="s">
        <v>150</v>
      </c>
      <c r="F31" t="s">
        <v>160</v>
      </c>
      <c r="G31" t="s">
        <v>159</v>
      </c>
      <c r="H31" s="44">
        <v>8.3640000000000008</v>
      </c>
      <c r="I31" s="44">
        <v>7.0739999999999998</v>
      </c>
      <c r="J31" s="44">
        <v>6.4359999999999999</v>
      </c>
      <c r="K31" s="44">
        <v>7.0430000000000001</v>
      </c>
      <c r="L31" s="44">
        <v>6.4770000000000003</v>
      </c>
      <c r="M31" s="44">
        <v>6.3949999999999996</v>
      </c>
      <c r="N31" s="44">
        <v>6.61</v>
      </c>
      <c r="O31" s="44">
        <v>6.681</v>
      </c>
      <c r="P31" s="44">
        <v>6.79</v>
      </c>
      <c r="Q31" s="44">
        <v>6.9850000000000003</v>
      </c>
      <c r="R31" s="51">
        <v>68.855000000000004</v>
      </c>
      <c r="S31" s="14">
        <v>0</v>
      </c>
      <c r="T31" s="45">
        <v>68.855000000000004</v>
      </c>
    </row>
    <row r="32" spans="1:20" s="14" customFormat="1" ht="14.45" customHeight="1">
      <c r="A32" s="66" t="s">
        <v>7</v>
      </c>
      <c r="B32" s="66">
        <v>1</v>
      </c>
      <c r="C32" s="66">
        <v>8</v>
      </c>
      <c r="D32" t="s">
        <v>43</v>
      </c>
      <c r="E32" t="s">
        <v>46</v>
      </c>
      <c r="F32" t="s">
        <v>145</v>
      </c>
      <c r="G32" t="s">
        <v>46</v>
      </c>
      <c r="H32" s="44">
        <v>9.0589999999999993</v>
      </c>
      <c r="I32" s="44">
        <v>6.0270000000000001</v>
      </c>
      <c r="J32" s="44" t="s">
        <v>199</v>
      </c>
      <c r="K32" s="44">
        <v>5.9569999999999999</v>
      </c>
      <c r="L32" s="44">
        <v>6.0730000000000004</v>
      </c>
      <c r="M32" s="44">
        <v>6.16</v>
      </c>
      <c r="N32" s="44">
        <v>6.2469999999999999</v>
      </c>
      <c r="O32" s="44">
        <v>6.5010000000000003</v>
      </c>
      <c r="P32" s="44">
        <v>5.8529999999999998</v>
      </c>
      <c r="Q32" s="44">
        <v>6.0839999999999996</v>
      </c>
      <c r="R32" s="51">
        <v>64.013000000000005</v>
      </c>
      <c r="S32" s="14">
        <v>1</v>
      </c>
      <c r="T32" s="45">
        <v>70.414300000000011</v>
      </c>
    </row>
    <row r="33" spans="1:20" s="14" customFormat="1" ht="14.45" customHeight="1">
      <c r="A33" s="66"/>
      <c r="B33" s="66"/>
      <c r="C33" s="66"/>
      <c r="D33" t="s">
        <v>45</v>
      </c>
      <c r="E33" t="s">
        <v>44</v>
      </c>
      <c r="F33" t="s">
        <v>177</v>
      </c>
      <c r="G33" t="s">
        <v>178</v>
      </c>
      <c r="H33" s="44" t="s">
        <v>185</v>
      </c>
      <c r="I33" s="44" t="s">
        <v>185</v>
      </c>
      <c r="J33" s="44" t="s">
        <v>185</v>
      </c>
      <c r="K33" s="44" t="s">
        <v>185</v>
      </c>
      <c r="L33" s="44" t="s">
        <v>185</v>
      </c>
      <c r="M33" s="44" t="s">
        <v>185</v>
      </c>
      <c r="N33" s="44" t="s">
        <v>185</v>
      </c>
      <c r="O33" s="44" t="s">
        <v>185</v>
      </c>
      <c r="P33" s="44" t="s">
        <v>185</v>
      </c>
      <c r="Q33" s="44" t="s">
        <v>185</v>
      </c>
      <c r="R33" s="51" t="s">
        <v>185</v>
      </c>
      <c r="S33" s="14">
        <v>0</v>
      </c>
      <c r="T33" s="45">
        <v>200</v>
      </c>
    </row>
    <row r="34" spans="1:20" s="14" customFormat="1" ht="14.45" customHeight="1">
      <c r="A34" s="66"/>
      <c r="B34" s="66"/>
      <c r="C34" s="66"/>
      <c r="D34" t="s">
        <v>59</v>
      </c>
      <c r="E34" t="s">
        <v>120</v>
      </c>
      <c r="F34" t="s">
        <v>119</v>
      </c>
      <c r="G34" t="s">
        <v>120</v>
      </c>
      <c r="H34" s="44" t="s">
        <v>198</v>
      </c>
      <c r="I34" s="44" t="s">
        <v>186</v>
      </c>
      <c r="J34" s="44" t="s">
        <v>185</v>
      </c>
      <c r="K34" s="44" t="s">
        <v>185</v>
      </c>
      <c r="L34" s="44" t="s">
        <v>185</v>
      </c>
      <c r="M34" s="44" t="s">
        <v>185</v>
      </c>
      <c r="N34" s="44" t="s">
        <v>185</v>
      </c>
      <c r="O34" s="44" t="s">
        <v>185</v>
      </c>
      <c r="P34" s="44" t="s">
        <v>185</v>
      </c>
      <c r="Q34" s="44" t="s">
        <v>185</v>
      </c>
      <c r="R34" s="51" t="s">
        <v>185</v>
      </c>
      <c r="S34" s="14">
        <v>2</v>
      </c>
      <c r="T34" s="45">
        <v>200</v>
      </c>
    </row>
    <row r="35" spans="1:20" s="14" customFormat="1" ht="14.45" customHeight="1">
      <c r="A35" s="66" t="s">
        <v>7</v>
      </c>
      <c r="B35" s="66">
        <v>1</v>
      </c>
      <c r="C35" s="66">
        <v>9</v>
      </c>
      <c r="D35" t="s">
        <v>140</v>
      </c>
      <c r="E35" t="s">
        <v>151</v>
      </c>
      <c r="F35" t="s">
        <v>72</v>
      </c>
      <c r="G35" t="s">
        <v>152</v>
      </c>
      <c r="H35" s="44">
        <v>8.6460000000000008</v>
      </c>
      <c r="I35" s="44">
        <v>6.1029999999999998</v>
      </c>
      <c r="J35" s="44" t="s">
        <v>200</v>
      </c>
      <c r="K35" s="44">
        <v>5.6139999999999999</v>
      </c>
      <c r="L35" s="44">
        <v>5.8019999999999996</v>
      </c>
      <c r="M35" s="44">
        <v>5.9489999999999998</v>
      </c>
      <c r="N35" s="44">
        <v>5.8540000000000001</v>
      </c>
      <c r="O35" s="44">
        <v>5.8159999999999998</v>
      </c>
      <c r="P35" s="44">
        <v>6.2380000000000004</v>
      </c>
      <c r="Q35" s="44">
        <v>6.4710000000000001</v>
      </c>
      <c r="R35" s="51">
        <v>62.348999999999997</v>
      </c>
      <c r="S35" s="14">
        <v>1</v>
      </c>
      <c r="T35" s="45">
        <v>68.5839</v>
      </c>
    </row>
    <row r="36" spans="1:20" s="14" customFormat="1" ht="14.45" customHeight="1">
      <c r="A36" s="66"/>
      <c r="B36" s="66"/>
      <c r="C36" s="66"/>
      <c r="D36" t="s">
        <v>134</v>
      </c>
      <c r="E36" t="s">
        <v>135</v>
      </c>
      <c r="F36" t="s">
        <v>136</v>
      </c>
      <c r="G36" t="s">
        <v>137</v>
      </c>
      <c r="H36" s="44">
        <v>8.81</v>
      </c>
      <c r="I36" s="44">
        <v>6.2</v>
      </c>
      <c r="J36" s="44">
        <v>9.7769999999999992</v>
      </c>
      <c r="K36" s="44">
        <v>8.2829999999999995</v>
      </c>
      <c r="L36" s="44">
        <v>6.89</v>
      </c>
      <c r="M36" s="44">
        <v>7.6289999999999996</v>
      </c>
      <c r="N36" s="44">
        <v>7.774</v>
      </c>
      <c r="O36" s="44">
        <v>7.03</v>
      </c>
      <c r="P36" s="44">
        <v>7.3150000000000004</v>
      </c>
      <c r="Q36" s="44">
        <v>7.266</v>
      </c>
      <c r="R36" s="51">
        <v>76.974000000000004</v>
      </c>
      <c r="S36" s="14">
        <v>0</v>
      </c>
      <c r="T36" s="45">
        <v>76.974000000000004</v>
      </c>
    </row>
    <row r="37" spans="1:20" s="14" customFormat="1" ht="14.45" customHeight="1">
      <c r="A37" s="66"/>
      <c r="B37" s="66"/>
      <c r="C37" s="66"/>
      <c r="D37" t="s">
        <v>55</v>
      </c>
      <c r="E37" t="s">
        <v>131</v>
      </c>
      <c r="F37" t="s">
        <v>53</v>
      </c>
      <c r="G37" t="s">
        <v>54</v>
      </c>
      <c r="H37" s="44">
        <v>8.7739999999999991</v>
      </c>
      <c r="I37" s="44" t="s">
        <v>201</v>
      </c>
      <c r="J37" s="44">
        <v>5.3780000000000001</v>
      </c>
      <c r="K37" s="44">
        <v>5.641</v>
      </c>
      <c r="L37" s="44">
        <v>5.3070000000000004</v>
      </c>
      <c r="M37" s="44">
        <v>5.6559999999999997</v>
      </c>
      <c r="N37" s="44">
        <v>5.4729999999999999</v>
      </c>
      <c r="O37" s="44">
        <v>5.5990000000000002</v>
      </c>
      <c r="P37" s="44">
        <v>5.8109999999999999</v>
      </c>
      <c r="Q37" s="44" t="s">
        <v>201</v>
      </c>
      <c r="R37" s="51">
        <v>58.411000000000001</v>
      </c>
      <c r="S37" s="14">
        <v>0</v>
      </c>
      <c r="T37" s="45">
        <v>58.411000000000001</v>
      </c>
    </row>
    <row r="38" spans="1:20" s="14" customFormat="1" ht="14.45" customHeight="1">
      <c r="A38" s="66" t="s">
        <v>7</v>
      </c>
      <c r="B38" s="66">
        <v>1</v>
      </c>
      <c r="C38" s="66">
        <v>10</v>
      </c>
      <c r="D38" t="s">
        <v>121</v>
      </c>
      <c r="E38" t="s">
        <v>120</v>
      </c>
      <c r="F38" t="s">
        <v>119</v>
      </c>
      <c r="G38" t="s">
        <v>120</v>
      </c>
      <c r="H38">
        <v>9.5020000000000007</v>
      </c>
      <c r="I38">
        <v>6.1210000000000004</v>
      </c>
      <c r="J38">
        <v>5.9290000000000003</v>
      </c>
      <c r="K38">
        <v>6.093</v>
      </c>
      <c r="L38">
        <v>6.5730000000000004</v>
      </c>
      <c r="M38">
        <v>6.28</v>
      </c>
      <c r="N38">
        <v>6.3479999999999999</v>
      </c>
      <c r="O38">
        <v>6.2629999999999999</v>
      </c>
      <c r="P38">
        <v>6.0979999999999999</v>
      </c>
      <c r="Q38">
        <v>6.2050000000000001</v>
      </c>
      <c r="R38" s="52">
        <v>65.412000000000006</v>
      </c>
      <c r="S38">
        <v>0</v>
      </c>
      <c r="T38">
        <v>65.412000000000006</v>
      </c>
    </row>
    <row r="39" spans="1:20" s="14" customFormat="1" ht="14.45" customHeight="1">
      <c r="A39" s="66"/>
      <c r="B39" s="66"/>
      <c r="C39" s="66"/>
      <c r="D39" t="s">
        <v>60</v>
      </c>
      <c r="E39" t="s">
        <v>146</v>
      </c>
      <c r="F39" t="s">
        <v>69</v>
      </c>
      <c r="G39" t="s">
        <v>70</v>
      </c>
      <c r="H39">
        <v>9.5609999999999999</v>
      </c>
      <c r="I39">
        <v>6.4290000000000003</v>
      </c>
      <c r="J39">
        <v>6.1</v>
      </c>
      <c r="K39">
        <v>5.758</v>
      </c>
      <c r="L39">
        <v>6.7510000000000003</v>
      </c>
      <c r="M39">
        <v>6.1619999999999999</v>
      </c>
      <c r="N39">
        <v>6.3869999999999996</v>
      </c>
      <c r="O39">
        <v>5.4029999999999996</v>
      </c>
      <c r="P39">
        <v>6.4359999999999999</v>
      </c>
      <c r="Q39">
        <v>5.625</v>
      </c>
      <c r="R39" s="52">
        <v>64.611999999999995</v>
      </c>
      <c r="S39">
        <v>0</v>
      </c>
      <c r="T39">
        <v>64.611999999999995</v>
      </c>
    </row>
    <row r="40" spans="1:20" s="14" customFormat="1" ht="14.45" customHeight="1">
      <c r="A40" s="66"/>
      <c r="B40" s="66"/>
      <c r="C40" s="66"/>
      <c r="D40" t="s">
        <v>140</v>
      </c>
      <c r="E40" t="s">
        <v>141</v>
      </c>
      <c r="F40" t="s">
        <v>61</v>
      </c>
      <c r="G40" t="s">
        <v>158</v>
      </c>
      <c r="H40">
        <v>9.4149999999999991</v>
      </c>
      <c r="I40">
        <v>8.4079999999999995</v>
      </c>
      <c r="J40">
        <v>5.8010000000000002</v>
      </c>
      <c r="K40">
        <v>5.5940000000000003</v>
      </c>
      <c r="L40">
        <v>5.82</v>
      </c>
      <c r="M40">
        <v>5.8840000000000003</v>
      </c>
      <c r="N40">
        <v>5.6429999999999998</v>
      </c>
      <c r="O40">
        <v>5.7489999999999997</v>
      </c>
      <c r="P40">
        <v>5.7539999999999996</v>
      </c>
      <c r="Q40">
        <v>5.5919999999999996</v>
      </c>
      <c r="R40" s="52">
        <v>63.66</v>
      </c>
      <c r="S40">
        <v>0</v>
      </c>
      <c r="T40" s="45">
        <v>63.66</v>
      </c>
    </row>
    <row r="41" spans="1:20" s="14" customFormat="1" ht="14.45" customHeight="1">
      <c r="A41" s="66" t="s">
        <v>7</v>
      </c>
      <c r="B41" s="66">
        <v>1</v>
      </c>
      <c r="C41" s="66">
        <v>11</v>
      </c>
      <c r="D41" t="s">
        <v>134</v>
      </c>
      <c r="E41" t="s">
        <v>138</v>
      </c>
      <c r="F41" t="s">
        <v>134</v>
      </c>
      <c r="G41" t="s">
        <v>135</v>
      </c>
      <c r="H41" s="44">
        <v>9.8369999999999997</v>
      </c>
      <c r="I41" s="44">
        <v>7.2439999999999998</v>
      </c>
      <c r="J41" s="44">
        <v>6.8209999999999997</v>
      </c>
      <c r="K41" s="44">
        <v>6.7290000000000001</v>
      </c>
      <c r="L41" s="44">
        <v>6.9269999999999996</v>
      </c>
      <c r="M41" s="44">
        <v>7.5250000000000004</v>
      </c>
      <c r="N41" s="44">
        <v>6.9379999999999997</v>
      </c>
      <c r="O41" s="44">
        <v>6.7110000000000003</v>
      </c>
      <c r="P41" s="44">
        <v>6.9009999999999998</v>
      </c>
      <c r="Q41" s="44">
        <v>6.8</v>
      </c>
      <c r="R41" s="51">
        <v>72.433000000000007</v>
      </c>
      <c r="S41" s="14">
        <v>0</v>
      </c>
      <c r="T41" s="45">
        <v>72.433000000000007</v>
      </c>
    </row>
    <row r="42" spans="1:20" s="14" customFormat="1" ht="14.45" customHeight="1">
      <c r="A42" s="66"/>
      <c r="B42" s="66"/>
      <c r="C42" s="66"/>
      <c r="D42" t="s">
        <v>61</v>
      </c>
      <c r="E42" t="s">
        <v>158</v>
      </c>
      <c r="F42" t="s">
        <v>140</v>
      </c>
      <c r="G42" t="s">
        <v>141</v>
      </c>
      <c r="H42" s="44">
        <v>8.8360000000000003</v>
      </c>
      <c r="I42" s="44">
        <v>6.0289999999999999</v>
      </c>
      <c r="J42" s="44">
        <v>5.6219999999999999</v>
      </c>
      <c r="K42" s="44">
        <v>5.468</v>
      </c>
      <c r="L42" s="44">
        <v>5.9939999999999998</v>
      </c>
      <c r="M42" s="44">
        <v>5.5720000000000001</v>
      </c>
      <c r="N42" s="44">
        <v>5.3380000000000001</v>
      </c>
      <c r="O42" s="44">
        <v>5.5419999999999998</v>
      </c>
      <c r="P42" s="44">
        <v>5.2789999999999999</v>
      </c>
      <c r="Q42" s="44">
        <v>5.7069999999999999</v>
      </c>
      <c r="R42" s="51">
        <v>59.387</v>
      </c>
      <c r="S42" s="14">
        <v>0</v>
      </c>
      <c r="T42" s="45">
        <v>59.387</v>
      </c>
    </row>
    <row r="43" spans="1:20" s="14" customFormat="1" ht="14.45" customHeight="1">
      <c r="A43" s="66"/>
      <c r="B43" s="66"/>
      <c r="C43" s="66"/>
      <c r="D43" t="s">
        <v>153</v>
      </c>
      <c r="E43" t="s">
        <v>154</v>
      </c>
      <c r="F43" t="s">
        <v>155</v>
      </c>
      <c r="G43" t="s">
        <v>156</v>
      </c>
      <c r="H43" s="44">
        <v>8.718</v>
      </c>
      <c r="I43" s="44">
        <v>6.5860000000000003</v>
      </c>
      <c r="J43" s="44">
        <v>6.8639999999999999</v>
      </c>
      <c r="K43" s="44">
        <v>6.8120000000000003</v>
      </c>
      <c r="L43" s="44">
        <v>6.63</v>
      </c>
      <c r="M43" s="44">
        <v>6.3410000000000002</v>
      </c>
      <c r="N43" s="44">
        <v>6.4870000000000001</v>
      </c>
      <c r="O43" s="44">
        <v>6.8479999999999999</v>
      </c>
      <c r="P43" s="44">
        <v>6.6529999999999996</v>
      </c>
      <c r="Q43" s="44">
        <v>6.1680000000000001</v>
      </c>
      <c r="R43" s="51">
        <v>68.106999999999999</v>
      </c>
      <c r="S43" s="14">
        <v>0</v>
      </c>
      <c r="T43" s="45">
        <v>68.106999999999999</v>
      </c>
    </row>
    <row r="44" spans="1:20" s="14" customFormat="1" ht="14.45" customHeight="1">
      <c r="A44" s="66" t="s">
        <v>31</v>
      </c>
      <c r="B44" s="66">
        <v>1</v>
      </c>
      <c r="C44" s="66">
        <v>1</v>
      </c>
      <c r="D44" t="s">
        <v>140</v>
      </c>
      <c r="E44" t="s">
        <v>141</v>
      </c>
      <c r="F44" t="s">
        <v>61</v>
      </c>
      <c r="G44" t="s">
        <v>158</v>
      </c>
      <c r="H44" s="44">
        <v>9.8940000000000001</v>
      </c>
      <c r="I44" s="44">
        <v>6.6509999999999998</v>
      </c>
      <c r="J44" s="44">
        <v>6.5830000000000002</v>
      </c>
      <c r="K44" s="44" t="s">
        <v>185</v>
      </c>
      <c r="L44" s="44" t="s">
        <v>185</v>
      </c>
      <c r="M44" s="44" t="s">
        <v>185</v>
      </c>
      <c r="N44" s="44" t="s">
        <v>185</v>
      </c>
      <c r="O44" s="44" t="s">
        <v>185</v>
      </c>
      <c r="P44" s="44" t="s">
        <v>185</v>
      </c>
      <c r="Q44" s="44" t="s">
        <v>185</v>
      </c>
      <c r="R44" s="51" t="s">
        <v>185</v>
      </c>
      <c r="S44" s="14">
        <v>0</v>
      </c>
      <c r="T44" s="45">
        <v>200</v>
      </c>
    </row>
    <row r="45" spans="1:20" s="14" customFormat="1" ht="14.45" customHeight="1">
      <c r="A45" s="66"/>
      <c r="B45" s="66"/>
      <c r="C45" s="66"/>
      <c r="D45" t="s">
        <v>50</v>
      </c>
      <c r="E45" t="s">
        <v>139</v>
      </c>
      <c r="F45" t="s">
        <v>49</v>
      </c>
      <c r="G45" t="s">
        <v>148</v>
      </c>
      <c r="H45" s="44">
        <v>8.7119999999999997</v>
      </c>
      <c r="I45" s="44">
        <v>6.0960000000000001</v>
      </c>
      <c r="J45" s="44">
        <v>6.3920000000000003</v>
      </c>
      <c r="K45" s="44">
        <v>6.0510000000000002</v>
      </c>
      <c r="L45" s="44">
        <v>6.1180000000000003</v>
      </c>
      <c r="M45" s="44">
        <v>5.8360000000000003</v>
      </c>
      <c r="N45" s="44">
        <v>5.6310000000000002</v>
      </c>
      <c r="O45" s="44">
        <v>5.5780000000000003</v>
      </c>
      <c r="P45" s="44">
        <v>6.2990000000000004</v>
      </c>
      <c r="Q45" s="44">
        <v>5.8979999999999997</v>
      </c>
      <c r="R45" s="51">
        <v>62.610999999999997</v>
      </c>
      <c r="S45" s="14">
        <v>0</v>
      </c>
      <c r="T45" s="45">
        <v>62.610999999999997</v>
      </c>
    </row>
    <row r="46" spans="1:20" s="14" customFormat="1" ht="14.45" customHeight="1">
      <c r="A46" s="66"/>
      <c r="B46" s="66"/>
      <c r="C46" s="66"/>
      <c r="D46" t="s">
        <v>59</v>
      </c>
      <c r="E46" t="s">
        <v>120</v>
      </c>
      <c r="F46" t="s">
        <v>119</v>
      </c>
      <c r="G46" t="s">
        <v>120</v>
      </c>
      <c r="H46" s="44">
        <v>9.0589999999999993</v>
      </c>
      <c r="I46" s="44">
        <v>6.9619999999999997</v>
      </c>
      <c r="J46" s="44">
        <v>5.6719999999999997</v>
      </c>
      <c r="K46" s="44">
        <v>6.4340000000000002</v>
      </c>
      <c r="L46" s="44">
        <v>5.9180000000000001</v>
      </c>
      <c r="M46" s="44">
        <v>6.5890000000000004</v>
      </c>
      <c r="N46" s="44">
        <v>5.9560000000000004</v>
      </c>
      <c r="O46" s="44">
        <v>5.8579999999999997</v>
      </c>
      <c r="P46" s="44">
        <v>6.5540000000000003</v>
      </c>
      <c r="Q46" s="44">
        <v>5.9649999999999999</v>
      </c>
      <c r="R46" s="51">
        <v>64.966999999999999</v>
      </c>
      <c r="S46" s="14">
        <v>0</v>
      </c>
      <c r="T46" s="45">
        <v>64.966999999999999</v>
      </c>
    </row>
    <row r="47" spans="1:20" s="14" customFormat="1" ht="14.45" customHeight="1">
      <c r="A47" s="66" t="s">
        <v>31</v>
      </c>
      <c r="B47" s="66">
        <v>1</v>
      </c>
      <c r="C47" s="66">
        <v>2</v>
      </c>
      <c r="D47" t="s">
        <v>69</v>
      </c>
      <c r="E47" t="s">
        <v>70</v>
      </c>
      <c r="F47" t="s">
        <v>64</v>
      </c>
      <c r="G47" t="s">
        <v>164</v>
      </c>
      <c r="H47" s="44" t="s">
        <v>185</v>
      </c>
      <c r="I47" s="44" t="s">
        <v>185</v>
      </c>
      <c r="J47" s="44" t="s">
        <v>185</v>
      </c>
      <c r="K47" s="44" t="s">
        <v>185</v>
      </c>
      <c r="L47" s="44" t="s">
        <v>185</v>
      </c>
      <c r="M47" s="44" t="s">
        <v>185</v>
      </c>
      <c r="N47" s="44" t="s">
        <v>185</v>
      </c>
      <c r="O47" s="44" t="s">
        <v>185</v>
      </c>
      <c r="P47" s="44" t="s">
        <v>185</v>
      </c>
      <c r="Q47" s="44" t="s">
        <v>185</v>
      </c>
      <c r="R47" s="51" t="s">
        <v>185</v>
      </c>
      <c r="S47" s="14">
        <v>0</v>
      </c>
      <c r="T47" s="45">
        <v>200</v>
      </c>
    </row>
    <row r="48" spans="1:20" s="14" customFormat="1" ht="14.45" customHeight="1">
      <c r="A48" s="66"/>
      <c r="B48" s="66"/>
      <c r="C48" s="66"/>
      <c r="D48" t="s">
        <v>73</v>
      </c>
      <c r="E48" t="s">
        <v>161</v>
      </c>
      <c r="F48" t="s">
        <v>139</v>
      </c>
      <c r="G48" t="s">
        <v>50</v>
      </c>
      <c r="H48" s="44" t="s">
        <v>185</v>
      </c>
      <c r="I48" s="44" t="s">
        <v>185</v>
      </c>
      <c r="J48" s="44" t="s">
        <v>185</v>
      </c>
      <c r="K48" s="44" t="s">
        <v>185</v>
      </c>
      <c r="L48" s="44" t="s">
        <v>185</v>
      </c>
      <c r="M48" s="44" t="s">
        <v>185</v>
      </c>
      <c r="N48" s="44" t="s">
        <v>185</v>
      </c>
      <c r="O48" s="44" t="s">
        <v>185</v>
      </c>
      <c r="P48" s="44" t="s">
        <v>185</v>
      </c>
      <c r="Q48" s="44" t="s">
        <v>185</v>
      </c>
      <c r="R48" s="51" t="s">
        <v>185</v>
      </c>
      <c r="S48" s="14">
        <v>0</v>
      </c>
      <c r="T48" s="45">
        <v>200</v>
      </c>
    </row>
    <row r="49" spans="1:20" s="14" customFormat="1" ht="14.45" customHeight="1">
      <c r="A49" s="66"/>
      <c r="B49" s="66"/>
      <c r="C49" s="66"/>
      <c r="D49" t="s">
        <v>40</v>
      </c>
      <c r="E49" t="s">
        <v>40</v>
      </c>
      <c r="F49" t="s">
        <v>41</v>
      </c>
      <c r="G49" t="s">
        <v>41</v>
      </c>
      <c r="H49" s="44" t="s">
        <v>185</v>
      </c>
      <c r="I49" s="44" t="s">
        <v>185</v>
      </c>
      <c r="J49" s="44" t="s">
        <v>185</v>
      </c>
      <c r="K49" s="44" t="s">
        <v>185</v>
      </c>
      <c r="L49" s="44" t="s">
        <v>185</v>
      </c>
      <c r="M49" s="44" t="s">
        <v>185</v>
      </c>
      <c r="N49" s="44" t="s">
        <v>185</v>
      </c>
      <c r="O49" s="44" t="s">
        <v>185</v>
      </c>
      <c r="P49" s="44" t="s">
        <v>185</v>
      </c>
      <c r="Q49" s="44" t="s">
        <v>185</v>
      </c>
      <c r="R49" s="51" t="s">
        <v>185</v>
      </c>
      <c r="S49" s="14">
        <v>0</v>
      </c>
      <c r="T49" s="45">
        <v>200</v>
      </c>
    </row>
    <row r="50" spans="1:20" s="14" customFormat="1" ht="14.45" customHeight="1">
      <c r="A50" s="66" t="s">
        <v>31</v>
      </c>
      <c r="B50" s="66">
        <v>1</v>
      </c>
      <c r="C50" s="66">
        <v>3</v>
      </c>
      <c r="D50" t="s">
        <v>52</v>
      </c>
      <c r="E50" t="s">
        <v>125</v>
      </c>
      <c r="F50" t="s">
        <v>56</v>
      </c>
      <c r="G50" t="s">
        <v>57</v>
      </c>
      <c r="H50" s="44">
        <v>9.6750000000000007</v>
      </c>
      <c r="I50" s="44">
        <v>6.7130000000000001</v>
      </c>
      <c r="J50" s="44">
        <v>5.9359999999999999</v>
      </c>
      <c r="K50" s="44">
        <v>5.9889999999999999</v>
      </c>
      <c r="L50" s="44">
        <v>5.9320000000000004</v>
      </c>
      <c r="M50" s="44">
        <v>5.907</v>
      </c>
      <c r="N50" s="44">
        <v>5.694</v>
      </c>
      <c r="O50" s="44">
        <v>5.8529999999999998</v>
      </c>
      <c r="P50" s="44">
        <v>6.0510000000000002</v>
      </c>
      <c r="Q50" s="44">
        <v>6.2210000000000001</v>
      </c>
      <c r="R50" s="51">
        <v>63.970999999999997</v>
      </c>
      <c r="S50" s="14">
        <v>0</v>
      </c>
      <c r="T50" s="45">
        <v>63.970999999999997</v>
      </c>
    </row>
    <row r="51" spans="1:20" s="14" customFormat="1" ht="14.45" customHeight="1">
      <c r="A51" s="66"/>
      <c r="B51" s="66"/>
      <c r="C51" s="66"/>
      <c r="D51" t="s">
        <v>121</v>
      </c>
      <c r="E51" t="s">
        <v>120</v>
      </c>
      <c r="F51" t="s">
        <v>119</v>
      </c>
      <c r="G51" t="s">
        <v>120</v>
      </c>
      <c r="H51" s="44">
        <v>10.48</v>
      </c>
      <c r="I51" s="44">
        <v>6.3760000000000003</v>
      </c>
      <c r="J51" s="44">
        <v>6.6840000000000002</v>
      </c>
      <c r="K51" s="44">
        <v>6.0819999999999999</v>
      </c>
      <c r="L51" s="46">
        <v>6.1639999999999997</v>
      </c>
      <c r="M51" s="44">
        <v>6.0609999999999999</v>
      </c>
      <c r="N51" s="44">
        <v>5.9089999999999998</v>
      </c>
      <c r="O51" s="44">
        <v>5.7249999999999996</v>
      </c>
      <c r="P51" s="44">
        <v>5.9660000000000002</v>
      </c>
      <c r="Q51" s="45">
        <v>6.1550000000000002</v>
      </c>
      <c r="R51" s="51">
        <v>65.602000000000004</v>
      </c>
      <c r="S51" s="14">
        <v>0</v>
      </c>
      <c r="T51" s="45">
        <v>65.602000000000004</v>
      </c>
    </row>
    <row r="52" spans="1:20" s="14" customFormat="1" ht="14.45" customHeight="1">
      <c r="A52" s="66"/>
      <c r="B52" s="66"/>
      <c r="C52" s="66"/>
      <c r="D52" t="s">
        <v>72</v>
      </c>
      <c r="E52" t="s">
        <v>152</v>
      </c>
      <c r="F52" t="s">
        <v>165</v>
      </c>
      <c r="G52" t="s">
        <v>152</v>
      </c>
      <c r="H52" s="44">
        <v>8.2859999999999996</v>
      </c>
      <c r="I52" s="44">
        <v>5.6680000000000001</v>
      </c>
      <c r="J52" s="44">
        <v>5.4740000000000002</v>
      </c>
      <c r="K52" s="44">
        <v>5.3479999999999999</v>
      </c>
      <c r="L52" s="44">
        <v>5.3710000000000004</v>
      </c>
      <c r="M52" s="44">
        <v>5.4850000000000003</v>
      </c>
      <c r="N52" s="44">
        <v>5.4619999999999997</v>
      </c>
      <c r="O52" s="44">
        <v>5.56</v>
      </c>
      <c r="P52" s="44">
        <v>5.54</v>
      </c>
      <c r="Q52" s="44">
        <v>5.4950000000000001</v>
      </c>
      <c r="R52" s="51">
        <v>57.689</v>
      </c>
      <c r="S52" s="14">
        <v>0</v>
      </c>
      <c r="T52" s="45">
        <v>57.689</v>
      </c>
    </row>
    <row r="53" spans="1:20" s="14" customFormat="1" ht="14.45" customHeight="1">
      <c r="A53" s="66" t="s">
        <v>31</v>
      </c>
      <c r="B53" s="66">
        <v>1</v>
      </c>
      <c r="C53" s="66">
        <v>4</v>
      </c>
      <c r="D53" t="s">
        <v>61</v>
      </c>
      <c r="E53" t="s">
        <v>158</v>
      </c>
      <c r="F53" t="s">
        <v>140</v>
      </c>
      <c r="G53" t="s">
        <v>141</v>
      </c>
      <c r="H53" s="44" t="s">
        <v>202</v>
      </c>
      <c r="I53" s="44" t="s">
        <v>203</v>
      </c>
      <c r="J53" s="44" t="s">
        <v>204</v>
      </c>
      <c r="K53" s="44" t="s">
        <v>205</v>
      </c>
      <c r="L53" s="44" t="s">
        <v>206</v>
      </c>
      <c r="M53" s="44" t="s">
        <v>207</v>
      </c>
      <c r="N53" s="44" t="s">
        <v>208</v>
      </c>
      <c r="O53" s="44" t="s">
        <v>209</v>
      </c>
      <c r="P53" s="44" t="s">
        <v>210</v>
      </c>
      <c r="Q53" s="44" t="s">
        <v>211</v>
      </c>
      <c r="R53" s="51" t="s">
        <v>212</v>
      </c>
      <c r="S53" s="14">
        <v>0</v>
      </c>
      <c r="T53" s="49">
        <v>57.18</v>
      </c>
    </row>
    <row r="54" spans="1:20" s="14" customFormat="1" ht="14.45" customHeight="1">
      <c r="A54" s="66"/>
      <c r="B54" s="66"/>
      <c r="C54" s="66"/>
      <c r="D54" t="s">
        <v>160</v>
      </c>
      <c r="E54" t="s">
        <v>159</v>
      </c>
      <c r="F54" t="s">
        <v>51</v>
      </c>
      <c r="G54" t="s">
        <v>183</v>
      </c>
      <c r="H54" s="44" t="s">
        <v>213</v>
      </c>
      <c r="I54" s="44" t="s">
        <v>214</v>
      </c>
      <c r="J54" s="44" t="s">
        <v>216</v>
      </c>
      <c r="K54" s="44" t="s">
        <v>217</v>
      </c>
      <c r="L54" s="44" t="s">
        <v>218</v>
      </c>
      <c r="M54" s="44" t="s">
        <v>219</v>
      </c>
      <c r="N54" s="44" t="s">
        <v>220</v>
      </c>
      <c r="O54" s="44" t="s">
        <v>221</v>
      </c>
      <c r="P54" s="44" t="s">
        <v>222</v>
      </c>
      <c r="Q54" s="44" t="s">
        <v>223</v>
      </c>
      <c r="R54" s="53" t="s">
        <v>224</v>
      </c>
      <c r="S54" s="14">
        <v>0</v>
      </c>
      <c r="T54" s="45">
        <v>61.924999999999997</v>
      </c>
    </row>
    <row r="55" spans="1:20" s="14" customFormat="1" ht="14.45" customHeight="1">
      <c r="A55" s="66"/>
      <c r="B55" s="66"/>
      <c r="C55" s="66"/>
      <c r="D55" t="s">
        <v>71</v>
      </c>
      <c r="E55" t="s">
        <v>162</v>
      </c>
      <c r="F55" t="s">
        <v>163</v>
      </c>
      <c r="G55" t="s">
        <v>69</v>
      </c>
      <c r="H55" s="44" t="s">
        <v>225</v>
      </c>
      <c r="I55" s="44" t="s">
        <v>226</v>
      </c>
      <c r="J55" s="44" t="s">
        <v>227</v>
      </c>
      <c r="K55" s="44" t="s">
        <v>228</v>
      </c>
      <c r="L55" s="44" t="s">
        <v>229</v>
      </c>
      <c r="M55" s="44" t="s">
        <v>218</v>
      </c>
      <c r="N55" s="44" t="s">
        <v>230</v>
      </c>
      <c r="O55" s="44" t="s">
        <v>231</v>
      </c>
      <c r="P55" s="44" t="s">
        <v>232</v>
      </c>
      <c r="Q55" s="44" t="s">
        <v>233</v>
      </c>
      <c r="R55" s="53" t="s">
        <v>234</v>
      </c>
      <c r="S55" s="14">
        <v>0</v>
      </c>
      <c r="T55" s="45">
        <v>57.107999999999997</v>
      </c>
    </row>
    <row r="56" spans="1:20" s="14" customFormat="1" ht="14.45" customHeight="1">
      <c r="A56" s="66" t="s">
        <v>6</v>
      </c>
      <c r="B56" s="66">
        <v>2</v>
      </c>
      <c r="C56" s="66">
        <v>1</v>
      </c>
      <c r="D56" t="s">
        <v>40</v>
      </c>
      <c r="E56" t="s">
        <v>40</v>
      </c>
      <c r="F56" t="s">
        <v>41</v>
      </c>
      <c r="G56" t="s">
        <v>41</v>
      </c>
      <c r="H56" s="44" t="s">
        <v>185</v>
      </c>
      <c r="I56" s="44" t="s">
        <v>185</v>
      </c>
      <c r="J56" s="44" t="s">
        <v>185</v>
      </c>
      <c r="K56" s="44" t="s">
        <v>185</v>
      </c>
      <c r="L56" s="44" t="s">
        <v>185</v>
      </c>
      <c r="M56" s="44" t="s">
        <v>185</v>
      </c>
      <c r="N56" s="44" t="s">
        <v>185</v>
      </c>
      <c r="O56" s="44" t="s">
        <v>185</v>
      </c>
      <c r="P56" s="44" t="s">
        <v>185</v>
      </c>
      <c r="Q56" s="44" t="s">
        <v>185</v>
      </c>
      <c r="R56" s="53" t="s">
        <v>185</v>
      </c>
      <c r="S56" s="14">
        <v>0</v>
      </c>
      <c r="T56" s="45">
        <v>200</v>
      </c>
    </row>
    <row r="57" spans="1:20" s="14" customFormat="1" ht="14.45" customHeight="1">
      <c r="A57" s="66"/>
      <c r="B57" s="66"/>
      <c r="C57" s="66"/>
      <c r="D57" t="s">
        <v>116</v>
      </c>
      <c r="E57" t="s">
        <v>117</v>
      </c>
      <c r="F57" t="s">
        <v>118</v>
      </c>
      <c r="G57" t="s">
        <v>122</v>
      </c>
      <c r="H57" s="44" t="s">
        <v>185</v>
      </c>
      <c r="I57" s="44" t="s">
        <v>185</v>
      </c>
      <c r="J57" s="44" t="s">
        <v>185</v>
      </c>
      <c r="K57" s="44" t="s">
        <v>185</v>
      </c>
      <c r="L57" s="44" t="s">
        <v>185</v>
      </c>
      <c r="M57" s="44" t="s">
        <v>185</v>
      </c>
      <c r="N57" s="44" t="s">
        <v>185</v>
      </c>
      <c r="O57" s="44" t="s">
        <v>185</v>
      </c>
      <c r="P57" s="44" t="s">
        <v>185</v>
      </c>
      <c r="Q57" s="44" t="s">
        <v>185</v>
      </c>
      <c r="R57" s="53" t="s">
        <v>185</v>
      </c>
      <c r="S57" s="14">
        <v>0</v>
      </c>
      <c r="T57" s="45">
        <v>200</v>
      </c>
    </row>
    <row r="58" spans="1:20" s="14" customFormat="1" ht="14.45" customHeight="1">
      <c r="A58" s="66"/>
      <c r="B58" s="66"/>
      <c r="C58" s="66"/>
      <c r="D58" t="s">
        <v>119</v>
      </c>
      <c r="E58" t="s">
        <v>120</v>
      </c>
      <c r="F58" t="s">
        <v>121</v>
      </c>
      <c r="G58" t="s">
        <v>120</v>
      </c>
      <c r="H58" s="44">
        <v>15.371</v>
      </c>
      <c r="I58" s="44">
        <v>12.346</v>
      </c>
      <c r="J58" s="44" t="s">
        <v>235</v>
      </c>
      <c r="K58" s="44">
        <v>12.404</v>
      </c>
      <c r="L58" s="44">
        <v>12.911</v>
      </c>
      <c r="M58" s="44">
        <v>11.914</v>
      </c>
      <c r="N58" s="44">
        <v>12.613</v>
      </c>
      <c r="O58" s="44">
        <v>12.042</v>
      </c>
      <c r="P58" s="44" t="s">
        <v>187</v>
      </c>
      <c r="Q58" s="44" t="s">
        <v>185</v>
      </c>
      <c r="R58" s="53" t="s">
        <v>185</v>
      </c>
      <c r="S58" s="14">
        <v>2</v>
      </c>
      <c r="T58" s="45">
        <v>200</v>
      </c>
    </row>
    <row r="59" spans="1:20" s="14" customFormat="1" ht="14.45" customHeight="1">
      <c r="A59" s="66" t="s">
        <v>7</v>
      </c>
      <c r="B59" s="66">
        <v>2</v>
      </c>
      <c r="C59" s="66">
        <v>1</v>
      </c>
      <c r="D59" t="s">
        <v>56</v>
      </c>
      <c r="E59" t="s">
        <v>57</v>
      </c>
      <c r="F59" t="s">
        <v>52</v>
      </c>
      <c r="G59" t="s">
        <v>125</v>
      </c>
      <c r="H59" s="44">
        <v>8.6080000000000005</v>
      </c>
      <c r="I59" s="44">
        <v>6.2930000000000001</v>
      </c>
      <c r="J59" s="44" t="s">
        <v>236</v>
      </c>
      <c r="K59" s="44">
        <v>6.8520000000000003</v>
      </c>
      <c r="L59" s="44">
        <v>6.3780000000000001</v>
      </c>
      <c r="M59" s="44">
        <v>6.8840000000000003</v>
      </c>
      <c r="N59" s="44">
        <v>6.3639999999999999</v>
      </c>
      <c r="O59" s="44">
        <v>6.5229999999999997</v>
      </c>
      <c r="P59" s="44">
        <v>6.516</v>
      </c>
      <c r="Q59" s="44">
        <v>6.827</v>
      </c>
      <c r="R59" s="53">
        <v>67.123999999999995</v>
      </c>
      <c r="S59" s="14">
        <v>1</v>
      </c>
      <c r="T59" s="45">
        <v>73.836399999999998</v>
      </c>
    </row>
    <row r="60" spans="1:20" s="14" customFormat="1" ht="14.45" customHeight="1">
      <c r="A60" s="66"/>
      <c r="B60" s="66"/>
      <c r="C60" s="66"/>
      <c r="D60" t="s">
        <v>68</v>
      </c>
      <c r="E60" t="s">
        <v>63</v>
      </c>
      <c r="F60" t="s">
        <v>142</v>
      </c>
      <c r="G60" t="s">
        <v>63</v>
      </c>
      <c r="H60" s="44">
        <v>8.9390000000000001</v>
      </c>
      <c r="I60" s="44">
        <v>6.4409999999999998</v>
      </c>
      <c r="J60" s="44">
        <v>5.8019999999999996</v>
      </c>
      <c r="K60" s="44">
        <v>5.944</v>
      </c>
      <c r="L60" s="44">
        <v>5.6340000000000003</v>
      </c>
      <c r="M60" s="44">
        <v>6.4980000000000002</v>
      </c>
      <c r="N60" s="44">
        <v>6.2839999999999998</v>
      </c>
      <c r="O60" s="44">
        <v>6.085</v>
      </c>
      <c r="P60" s="44">
        <v>5.6539999999999999</v>
      </c>
      <c r="Q60" s="44">
        <v>5.8579999999999997</v>
      </c>
      <c r="R60" s="53">
        <v>63.139000000000003</v>
      </c>
      <c r="S60" s="14">
        <v>0</v>
      </c>
      <c r="T60" s="45">
        <v>63.139000000000003</v>
      </c>
    </row>
    <row r="61" spans="1:20" s="14" customFormat="1" ht="14.45" customHeight="1">
      <c r="A61" s="66"/>
      <c r="B61" s="66"/>
      <c r="C61" s="66"/>
      <c r="D61" t="s">
        <v>40</v>
      </c>
      <c r="E61" t="s">
        <v>40</v>
      </c>
      <c r="F61" t="s">
        <v>41</v>
      </c>
      <c r="G61" t="s">
        <v>41</v>
      </c>
      <c r="H61" s="44" t="s">
        <v>185</v>
      </c>
      <c r="I61" s="44" t="s">
        <v>185</v>
      </c>
      <c r="J61" s="44" t="s">
        <v>185</v>
      </c>
      <c r="K61" s="44" t="s">
        <v>185</v>
      </c>
      <c r="L61" s="44" t="s">
        <v>185</v>
      </c>
      <c r="M61" s="44" t="s">
        <v>185</v>
      </c>
      <c r="N61" s="44" t="s">
        <v>185</v>
      </c>
      <c r="O61" s="44" t="s">
        <v>185</v>
      </c>
      <c r="P61" s="44" t="s">
        <v>185</v>
      </c>
      <c r="Q61" s="44" t="s">
        <v>185</v>
      </c>
      <c r="R61" s="53" t="s">
        <v>185</v>
      </c>
      <c r="S61" s="14">
        <v>0</v>
      </c>
      <c r="T61" s="45">
        <v>200</v>
      </c>
    </row>
    <row r="62" spans="1:20" s="14" customFormat="1" ht="14.45" customHeight="1">
      <c r="A62" s="66" t="s">
        <v>7</v>
      </c>
      <c r="B62" s="66">
        <v>2</v>
      </c>
      <c r="C62" s="66">
        <v>2</v>
      </c>
      <c r="D62" t="s">
        <v>132</v>
      </c>
      <c r="E62" t="s">
        <v>133</v>
      </c>
      <c r="F62" t="s">
        <v>160</v>
      </c>
      <c r="G62" t="s">
        <v>159</v>
      </c>
      <c r="H62" s="44" t="s">
        <v>237</v>
      </c>
      <c r="I62" s="44" t="s">
        <v>238</v>
      </c>
      <c r="J62" s="44" t="s">
        <v>247</v>
      </c>
      <c r="K62" s="44" t="s">
        <v>239</v>
      </c>
      <c r="L62" s="44" t="s">
        <v>240</v>
      </c>
      <c r="M62" s="44" t="s">
        <v>241</v>
      </c>
      <c r="N62" s="44" t="s">
        <v>242</v>
      </c>
      <c r="O62" s="44" t="s">
        <v>243</v>
      </c>
      <c r="P62" s="44" t="s">
        <v>244</v>
      </c>
      <c r="Q62" s="44" t="s">
        <v>245</v>
      </c>
      <c r="R62" s="53" t="s">
        <v>246</v>
      </c>
      <c r="S62" s="14">
        <v>1</v>
      </c>
      <c r="T62" s="45">
        <v>72.447999999999993</v>
      </c>
    </row>
    <row r="63" spans="1:20" s="14" customFormat="1" ht="14.45" customHeight="1">
      <c r="A63" s="66"/>
      <c r="B63" s="66"/>
      <c r="C63" s="66"/>
      <c r="D63" t="s">
        <v>128</v>
      </c>
      <c r="E63" t="s">
        <v>129</v>
      </c>
      <c r="F63" t="s">
        <v>58</v>
      </c>
      <c r="G63" t="s">
        <v>127</v>
      </c>
      <c r="H63" s="44" t="s">
        <v>258</v>
      </c>
      <c r="I63" s="44" t="s">
        <v>248</v>
      </c>
      <c r="J63" s="44" t="s">
        <v>249</v>
      </c>
      <c r="K63" s="44" t="s">
        <v>250</v>
      </c>
      <c r="L63" s="44" t="s">
        <v>251</v>
      </c>
      <c r="M63" s="44" t="s">
        <v>252</v>
      </c>
      <c r="N63" s="44" t="s">
        <v>253</v>
      </c>
      <c r="O63" s="44" t="s">
        <v>254</v>
      </c>
      <c r="P63" s="44" t="s">
        <v>255</v>
      </c>
      <c r="Q63" s="44" t="s">
        <v>256</v>
      </c>
      <c r="R63" s="53" t="s">
        <v>257</v>
      </c>
      <c r="S63" s="14">
        <v>0</v>
      </c>
      <c r="T63" s="45">
        <v>71.918000000000006</v>
      </c>
    </row>
    <row r="64" spans="1:20" s="14" customFormat="1" ht="14.45" customHeight="1">
      <c r="A64" s="66"/>
      <c r="B64" s="66"/>
      <c r="C64" s="66"/>
      <c r="D64" t="s">
        <v>66</v>
      </c>
      <c r="E64" t="s">
        <v>67</v>
      </c>
      <c r="F64" t="s">
        <v>43</v>
      </c>
      <c r="G64" t="s">
        <v>46</v>
      </c>
      <c r="H64" s="44" t="s">
        <v>259</v>
      </c>
      <c r="I64" s="44" t="s">
        <v>260</v>
      </c>
      <c r="J64" s="44" t="s">
        <v>261</v>
      </c>
      <c r="K64" s="44" t="s">
        <v>186</v>
      </c>
      <c r="L64" s="44" t="s">
        <v>185</v>
      </c>
      <c r="M64" s="44" t="s">
        <v>185</v>
      </c>
      <c r="N64" s="44" t="s">
        <v>185</v>
      </c>
      <c r="O64" s="44" t="s">
        <v>185</v>
      </c>
      <c r="P64" s="44" t="s">
        <v>185</v>
      </c>
      <c r="Q64" s="44" t="s">
        <v>185</v>
      </c>
      <c r="R64" s="53" t="s">
        <v>185</v>
      </c>
      <c r="S64" s="14">
        <v>2</v>
      </c>
      <c r="T64" s="45">
        <v>200</v>
      </c>
    </row>
    <row r="65" spans="1:20" s="14" customFormat="1" ht="14.45" customHeight="1">
      <c r="A65" s="66" t="s">
        <v>7</v>
      </c>
      <c r="B65" s="66">
        <v>2</v>
      </c>
      <c r="C65" s="66">
        <v>3</v>
      </c>
      <c r="D65" t="s">
        <v>126</v>
      </c>
      <c r="E65" t="s">
        <v>127</v>
      </c>
      <c r="F65" t="s">
        <v>58</v>
      </c>
      <c r="G65" t="s">
        <v>127</v>
      </c>
      <c r="H65" s="44">
        <v>8.8330000000000002</v>
      </c>
      <c r="I65" s="44">
        <v>6.0149999999999997</v>
      </c>
      <c r="J65" s="44">
        <v>6.4649999999999999</v>
      </c>
      <c r="K65" s="44">
        <v>5.7569999999999997</v>
      </c>
      <c r="L65" s="44">
        <v>6.1079999999999997</v>
      </c>
      <c r="M65" s="44">
        <v>5.7270000000000003</v>
      </c>
      <c r="N65" s="44">
        <v>6.2690000000000001</v>
      </c>
      <c r="O65" s="44">
        <v>5.8419999999999996</v>
      </c>
      <c r="P65" s="44">
        <v>5.6520000000000001</v>
      </c>
      <c r="Q65" s="44">
        <v>5.82</v>
      </c>
      <c r="R65" s="53">
        <v>62.488</v>
      </c>
      <c r="S65" s="14">
        <v>0</v>
      </c>
      <c r="T65" s="45">
        <v>62.488</v>
      </c>
    </row>
    <row r="66" spans="1:20" s="14" customFormat="1" ht="14.45" customHeight="1">
      <c r="A66" s="66"/>
      <c r="B66" s="66"/>
      <c r="C66" s="66"/>
      <c r="D66" t="s">
        <v>51</v>
      </c>
      <c r="E66" t="s">
        <v>183</v>
      </c>
      <c r="F66" t="s">
        <v>130</v>
      </c>
      <c r="G66" t="s">
        <v>131</v>
      </c>
      <c r="H66" s="44">
        <v>9.048</v>
      </c>
      <c r="I66" s="44">
        <v>5.83</v>
      </c>
      <c r="J66" s="44">
        <v>6.29</v>
      </c>
      <c r="K66" s="44">
        <v>5.7649999999999997</v>
      </c>
      <c r="L66" s="44">
        <v>5.9489999999999998</v>
      </c>
      <c r="M66" s="44">
        <v>6.0720000000000001</v>
      </c>
      <c r="N66" s="44">
        <v>5.8319999999999999</v>
      </c>
      <c r="O66" s="44">
        <v>5.9820000000000002</v>
      </c>
      <c r="P66" s="44">
        <v>5.548</v>
      </c>
      <c r="Q66" s="44">
        <v>5.66</v>
      </c>
      <c r="R66" s="53">
        <v>61.975999999999999</v>
      </c>
      <c r="S66" s="14">
        <v>0</v>
      </c>
      <c r="T66" s="45">
        <v>61.975999999999999</v>
      </c>
    </row>
    <row r="67" spans="1:20" s="14" customFormat="1" ht="14.45" customHeight="1">
      <c r="A67" s="66"/>
      <c r="B67" s="66"/>
      <c r="C67" s="66"/>
      <c r="D67" t="s">
        <v>49</v>
      </c>
      <c r="E67" t="s">
        <v>148</v>
      </c>
      <c r="F67" t="s">
        <v>52</v>
      </c>
      <c r="G67" t="s">
        <v>125</v>
      </c>
      <c r="H67" s="44">
        <v>8.9969999999999999</v>
      </c>
      <c r="I67" s="44">
        <v>6.0170000000000003</v>
      </c>
      <c r="J67" s="44">
        <v>5.9219999999999997</v>
      </c>
      <c r="K67" s="44">
        <v>6.1150000000000002</v>
      </c>
      <c r="L67" s="44">
        <v>5.8689999999999998</v>
      </c>
      <c r="M67" s="44">
        <v>5.95</v>
      </c>
      <c r="N67" s="44">
        <v>6.0380000000000003</v>
      </c>
      <c r="O67" s="44">
        <v>5.734</v>
      </c>
      <c r="P67" s="44">
        <v>5.9119999999999999</v>
      </c>
      <c r="Q67" s="44" t="s">
        <v>262</v>
      </c>
      <c r="R67" s="53">
        <v>62.218000000000004</v>
      </c>
      <c r="S67" s="14">
        <v>0</v>
      </c>
      <c r="T67" s="45">
        <v>62.218000000000004</v>
      </c>
    </row>
    <row r="68" spans="1:20" s="14" customFormat="1" ht="14.45" customHeight="1">
      <c r="A68" s="66" t="s">
        <v>7</v>
      </c>
      <c r="B68" s="66">
        <v>2</v>
      </c>
      <c r="C68" s="66">
        <v>4</v>
      </c>
      <c r="D68" t="s">
        <v>62</v>
      </c>
      <c r="E68" t="s">
        <v>63</v>
      </c>
      <c r="F68" t="s">
        <v>68</v>
      </c>
      <c r="G68" t="s">
        <v>63</v>
      </c>
      <c r="H68" s="44">
        <v>9.6859999999999999</v>
      </c>
      <c r="I68" s="44">
        <v>6.806</v>
      </c>
      <c r="J68" s="44" t="s">
        <v>274</v>
      </c>
      <c r="K68" s="44">
        <v>6.5979999999999999</v>
      </c>
      <c r="L68" s="44">
        <v>6.0890000000000004</v>
      </c>
      <c r="M68" s="44">
        <v>6.3129999999999997</v>
      </c>
      <c r="N68" s="44">
        <v>6.5570000000000004</v>
      </c>
      <c r="O68" s="44">
        <v>6.2069999999999999</v>
      </c>
      <c r="P68" s="44">
        <v>6.7690000000000001</v>
      </c>
      <c r="Q68" s="44">
        <v>6.3460000000000001</v>
      </c>
      <c r="R68" s="53">
        <v>68.441999999999993</v>
      </c>
      <c r="S68" s="14">
        <v>1</v>
      </c>
      <c r="T68" s="45">
        <v>75.286199999999994</v>
      </c>
    </row>
    <row r="69" spans="1:20" s="14" customFormat="1" ht="14.45" customHeight="1">
      <c r="A69" s="66"/>
      <c r="B69" s="66"/>
      <c r="C69" s="66"/>
      <c r="D69" t="s">
        <v>123</v>
      </c>
      <c r="E69" t="s">
        <v>124</v>
      </c>
      <c r="F69" t="s">
        <v>121</v>
      </c>
      <c r="G69" t="s">
        <v>120</v>
      </c>
      <c r="H69" s="44">
        <v>9.984</v>
      </c>
      <c r="I69" s="44">
        <v>6.7859999999999996</v>
      </c>
      <c r="J69" s="44">
        <v>6.2409999999999997</v>
      </c>
      <c r="K69" s="44">
        <v>5.8109999999999999</v>
      </c>
      <c r="L69" s="44">
        <v>5.85</v>
      </c>
      <c r="M69" s="44">
        <v>6.327</v>
      </c>
      <c r="N69" s="44">
        <v>6.9459999999999997</v>
      </c>
      <c r="O69" s="44">
        <v>6.984</v>
      </c>
      <c r="P69" s="44">
        <v>6.63</v>
      </c>
      <c r="Q69" s="44">
        <v>6.274</v>
      </c>
      <c r="R69" s="53">
        <v>67.832999999999998</v>
      </c>
      <c r="S69" s="14">
        <v>0</v>
      </c>
      <c r="T69" s="45">
        <v>67.832999999999998</v>
      </c>
    </row>
    <row r="70" spans="1:20" s="14" customFormat="1" ht="14.45" customHeight="1">
      <c r="A70" s="66"/>
      <c r="B70" s="66"/>
      <c r="C70" s="66"/>
      <c r="D70" t="s">
        <v>177</v>
      </c>
      <c r="E70" t="s">
        <v>178</v>
      </c>
      <c r="F70" t="s">
        <v>45</v>
      </c>
      <c r="G70" t="s">
        <v>44</v>
      </c>
      <c r="H70" s="44">
        <v>9.8940000000000001</v>
      </c>
      <c r="I70" s="44">
        <v>6.5389999999999997</v>
      </c>
      <c r="J70" s="44" t="s">
        <v>275</v>
      </c>
      <c r="K70" s="44">
        <v>6.4359999999999999</v>
      </c>
      <c r="L70" s="14">
        <v>7.3609999999999998</v>
      </c>
      <c r="M70" s="14">
        <v>6.4859999999999998</v>
      </c>
      <c r="N70" s="14">
        <v>6.5019999999999998</v>
      </c>
      <c r="O70" s="14" t="s">
        <v>187</v>
      </c>
      <c r="P70" s="44" t="s">
        <v>185</v>
      </c>
      <c r="Q70" s="44" t="s">
        <v>185</v>
      </c>
      <c r="R70" s="53" t="s">
        <v>185</v>
      </c>
      <c r="S70" s="14">
        <v>2</v>
      </c>
      <c r="T70" s="45">
        <v>200</v>
      </c>
    </row>
    <row r="71" spans="1:20" s="14" customFormat="1" ht="14.45" customHeight="1">
      <c r="A71" s="66" t="s">
        <v>7</v>
      </c>
      <c r="B71" s="66">
        <v>2</v>
      </c>
      <c r="C71" s="66">
        <v>5</v>
      </c>
      <c r="D71" t="s">
        <v>149</v>
      </c>
      <c r="E71" t="s">
        <v>150</v>
      </c>
      <c r="F71" t="s">
        <v>160</v>
      </c>
      <c r="G71" t="s">
        <v>159</v>
      </c>
      <c r="H71" s="44">
        <v>8.8849999999999998</v>
      </c>
      <c r="I71" s="44">
        <v>6.28</v>
      </c>
      <c r="J71" s="44">
        <v>6.5830000000000002</v>
      </c>
      <c r="K71" s="44">
        <v>5.9509999999999996</v>
      </c>
      <c r="L71" s="44">
        <v>6.26</v>
      </c>
      <c r="M71" s="44">
        <v>5.9829999999999997</v>
      </c>
      <c r="N71" s="44">
        <v>5.7910000000000004</v>
      </c>
      <c r="O71" s="44">
        <v>5.7290000000000001</v>
      </c>
      <c r="P71" s="44">
        <v>5.9269999999999996</v>
      </c>
      <c r="Q71" s="44">
        <v>5.8520000000000003</v>
      </c>
      <c r="R71" s="53">
        <v>63.241</v>
      </c>
      <c r="S71" s="14">
        <v>0</v>
      </c>
      <c r="T71" s="45">
        <v>63.241</v>
      </c>
    </row>
    <row r="72" spans="1:20" s="14" customFormat="1" ht="14.45" customHeight="1">
      <c r="A72" s="66"/>
      <c r="B72" s="66"/>
      <c r="C72" s="66"/>
      <c r="D72" t="s">
        <v>52</v>
      </c>
      <c r="E72" t="s">
        <v>125</v>
      </c>
      <c r="F72" t="s">
        <v>56</v>
      </c>
      <c r="G72" t="s">
        <v>57</v>
      </c>
      <c r="H72" s="44" t="s">
        <v>185</v>
      </c>
      <c r="I72" s="44" t="s">
        <v>185</v>
      </c>
      <c r="J72" s="44" t="s">
        <v>185</v>
      </c>
      <c r="K72" s="44" t="s">
        <v>185</v>
      </c>
      <c r="L72" s="44" t="s">
        <v>185</v>
      </c>
      <c r="M72" s="44" t="s">
        <v>185</v>
      </c>
      <c r="N72" s="44" t="s">
        <v>185</v>
      </c>
      <c r="O72" s="44" t="s">
        <v>185</v>
      </c>
      <c r="P72" s="44" t="s">
        <v>185</v>
      </c>
      <c r="Q72" s="44" t="s">
        <v>185</v>
      </c>
      <c r="R72" s="53" t="s">
        <v>185</v>
      </c>
      <c r="S72" s="14">
        <v>0</v>
      </c>
      <c r="T72" s="45">
        <v>200</v>
      </c>
    </row>
    <row r="73" spans="1:20" s="14" customFormat="1" ht="14.45" customHeight="1">
      <c r="A73" s="66"/>
      <c r="B73" s="66"/>
      <c r="C73" s="66"/>
      <c r="D73" t="s">
        <v>157</v>
      </c>
      <c r="E73" t="s">
        <v>184</v>
      </c>
      <c r="F73" t="s">
        <v>155</v>
      </c>
      <c r="G73" t="s">
        <v>156</v>
      </c>
      <c r="H73" s="44">
        <v>8.36</v>
      </c>
      <c r="I73" s="44">
        <v>6.6950000000000003</v>
      </c>
      <c r="J73" s="44">
        <v>6.3860000000000001</v>
      </c>
      <c r="K73" s="44">
        <v>5.8719999999999999</v>
      </c>
      <c r="L73" s="44" t="s">
        <v>263</v>
      </c>
      <c r="M73" s="44">
        <v>6.0940000000000003</v>
      </c>
      <c r="N73" s="44">
        <v>5.7679999999999998</v>
      </c>
      <c r="O73" s="44">
        <v>6.0439999999999996</v>
      </c>
      <c r="P73" s="44">
        <v>5.4489999999999998</v>
      </c>
      <c r="Q73" s="44" t="s">
        <v>264</v>
      </c>
      <c r="R73" s="51">
        <v>62.582999999999998</v>
      </c>
      <c r="S73" s="14">
        <v>1</v>
      </c>
      <c r="T73" s="45">
        <v>68.841300000000004</v>
      </c>
    </row>
    <row r="74" spans="1:20" s="14" customFormat="1" ht="14.45" customHeight="1">
      <c r="A74" s="66" t="s">
        <v>7</v>
      </c>
      <c r="B74" s="66">
        <v>2</v>
      </c>
      <c r="C74" s="66">
        <v>6</v>
      </c>
      <c r="D74" t="s">
        <v>59</v>
      </c>
      <c r="E74" t="s">
        <v>120</v>
      </c>
      <c r="F74" t="s">
        <v>119</v>
      </c>
      <c r="G74" t="s">
        <v>120</v>
      </c>
      <c r="H74" s="44">
        <v>9.6609999999999996</v>
      </c>
      <c r="I74" s="44">
        <v>6.5979999999999999</v>
      </c>
      <c r="J74" s="44">
        <v>6.02</v>
      </c>
      <c r="K74" s="44">
        <v>5.9749999999999996</v>
      </c>
      <c r="L74" s="44">
        <v>6.2469999999999999</v>
      </c>
      <c r="M74" s="44">
        <v>6.0090000000000003</v>
      </c>
      <c r="N74" s="44">
        <v>6.5110000000000001</v>
      </c>
      <c r="O74" s="44">
        <v>6.4710000000000001</v>
      </c>
      <c r="P74" s="44">
        <v>6.4550000000000001</v>
      </c>
      <c r="Q74" s="44">
        <v>6.891</v>
      </c>
      <c r="R74" s="51">
        <v>66.837999999999994</v>
      </c>
      <c r="S74" s="14">
        <v>0</v>
      </c>
      <c r="T74" s="45">
        <v>66.837999999999994</v>
      </c>
    </row>
    <row r="75" spans="1:20" s="14" customFormat="1" ht="14.45" customHeight="1">
      <c r="A75" s="66"/>
      <c r="B75" s="66"/>
      <c r="C75" s="66"/>
      <c r="D75" t="s">
        <v>47</v>
      </c>
      <c r="E75" t="s">
        <v>48</v>
      </c>
      <c r="F75" t="s">
        <v>147</v>
      </c>
      <c r="G75" t="s">
        <v>48</v>
      </c>
      <c r="H75" s="44">
        <v>11.592000000000001</v>
      </c>
      <c r="I75" s="44">
        <v>2.2229999999999999</v>
      </c>
      <c r="J75" s="44">
        <v>8.1210000000000004</v>
      </c>
      <c r="K75" s="44">
        <v>7.7130000000000001</v>
      </c>
      <c r="L75" s="44">
        <v>7.19</v>
      </c>
      <c r="M75" s="44">
        <v>6.7149999999999999</v>
      </c>
      <c r="N75" s="44">
        <v>6.2009999999999996</v>
      </c>
      <c r="O75" s="44">
        <v>6.0730000000000004</v>
      </c>
      <c r="P75" s="44">
        <v>6.0720000000000001</v>
      </c>
      <c r="Q75" s="44">
        <v>6.4130000000000003</v>
      </c>
      <c r="R75" s="51">
        <v>68.313000000000002</v>
      </c>
      <c r="S75" s="14">
        <v>0</v>
      </c>
      <c r="T75" s="45">
        <v>68.313000000000002</v>
      </c>
    </row>
    <row r="76" spans="1:20" s="14" customFormat="1" ht="14.45" customHeight="1">
      <c r="A76" s="66"/>
      <c r="B76" s="66"/>
      <c r="C76" s="66"/>
      <c r="D76" t="s">
        <v>136</v>
      </c>
      <c r="E76" t="s">
        <v>137</v>
      </c>
      <c r="F76" t="s">
        <v>134</v>
      </c>
      <c r="G76" t="s">
        <v>135</v>
      </c>
      <c r="H76" s="44">
        <v>8.8119999999999994</v>
      </c>
      <c r="I76" s="44" t="s">
        <v>265</v>
      </c>
      <c r="J76" s="44">
        <v>5.9109999999999996</v>
      </c>
      <c r="K76" s="44">
        <v>6.0659999999999998</v>
      </c>
      <c r="L76" s="44">
        <v>6.1479999999999997</v>
      </c>
      <c r="M76" s="44">
        <v>6.4409999999999998</v>
      </c>
      <c r="N76" s="44">
        <v>6.5529999999999999</v>
      </c>
      <c r="O76" s="44">
        <v>6.4610000000000003</v>
      </c>
      <c r="P76" s="44">
        <v>5.992</v>
      </c>
      <c r="Q76" s="44">
        <v>6.0259999999999998</v>
      </c>
      <c r="R76" s="51">
        <v>63.655999999999999</v>
      </c>
      <c r="S76" s="14">
        <v>1</v>
      </c>
      <c r="T76" s="45">
        <v>70.021600000000007</v>
      </c>
    </row>
    <row r="77" spans="1:20" s="14" customFormat="1" ht="14.45" customHeight="1">
      <c r="A77" s="66" t="s">
        <v>7</v>
      </c>
      <c r="B77" s="66">
        <v>2</v>
      </c>
      <c r="C77" s="66">
        <v>7</v>
      </c>
      <c r="D77" t="s">
        <v>55</v>
      </c>
      <c r="E77" t="s">
        <v>131</v>
      </c>
      <c r="F77" t="s">
        <v>53</v>
      </c>
      <c r="G77" t="s">
        <v>54</v>
      </c>
      <c r="H77" s="44">
        <v>8.5180000000000007</v>
      </c>
      <c r="I77" s="44">
        <v>5.5339999999999998</v>
      </c>
      <c r="J77" s="44">
        <v>5.7030000000000003</v>
      </c>
      <c r="K77" s="44">
        <v>5.5350000000000001</v>
      </c>
      <c r="L77" s="44" t="s">
        <v>267</v>
      </c>
      <c r="M77" s="44">
        <v>5.6950000000000003</v>
      </c>
      <c r="N77" s="44">
        <v>5.9989999999999997</v>
      </c>
      <c r="O77" s="44">
        <v>5.56</v>
      </c>
      <c r="P77" s="44">
        <v>5.3879999999999999</v>
      </c>
      <c r="Q77" s="44">
        <v>5.6260000000000003</v>
      </c>
      <c r="R77" s="51">
        <v>58.84</v>
      </c>
      <c r="S77" s="14">
        <v>1</v>
      </c>
      <c r="T77" s="45">
        <v>64.724000000000004</v>
      </c>
    </row>
    <row r="78" spans="1:20" s="14" customFormat="1" ht="14.45" customHeight="1">
      <c r="A78" s="66"/>
      <c r="B78" s="66"/>
      <c r="C78" s="66"/>
      <c r="D78" t="s">
        <v>50</v>
      </c>
      <c r="E78" t="s">
        <v>139</v>
      </c>
      <c r="F78" t="s">
        <v>49</v>
      </c>
      <c r="G78" t="s">
        <v>148</v>
      </c>
      <c r="H78" s="44">
        <v>8.9390000000000001</v>
      </c>
      <c r="I78" s="44">
        <v>6.16</v>
      </c>
      <c r="J78" s="44" t="s">
        <v>266</v>
      </c>
      <c r="K78" s="44">
        <v>5.8630000000000004</v>
      </c>
      <c r="L78" s="44">
        <v>5.8</v>
      </c>
      <c r="M78" s="44">
        <v>5.9690000000000003</v>
      </c>
      <c r="N78" s="44">
        <v>6.4589999999999996</v>
      </c>
      <c r="O78" s="44">
        <v>6.1539999999999999</v>
      </c>
      <c r="P78" s="44">
        <v>6.1959999999999997</v>
      </c>
      <c r="Q78" s="44">
        <v>6.1539999999999999</v>
      </c>
      <c r="R78" s="51">
        <v>63.493000000000002</v>
      </c>
      <c r="S78" s="14">
        <v>1</v>
      </c>
      <c r="T78" s="45">
        <v>69.842300000000009</v>
      </c>
    </row>
    <row r="79" spans="1:20" s="14" customFormat="1" ht="14.45" customHeight="1">
      <c r="A79" s="66"/>
      <c r="B79" s="66"/>
      <c r="C79" s="66"/>
      <c r="D79" t="s">
        <v>45</v>
      </c>
      <c r="E79" t="s">
        <v>44</v>
      </c>
      <c r="F79" t="s">
        <v>177</v>
      </c>
      <c r="G79" t="s">
        <v>178</v>
      </c>
      <c r="H79" s="44" t="s">
        <v>185</v>
      </c>
      <c r="I79" s="44" t="s">
        <v>185</v>
      </c>
      <c r="J79" s="44" t="s">
        <v>185</v>
      </c>
      <c r="K79" s="44" t="s">
        <v>185</v>
      </c>
      <c r="L79" s="44" t="s">
        <v>185</v>
      </c>
      <c r="M79" s="44" t="s">
        <v>185</v>
      </c>
      <c r="N79" s="44" t="s">
        <v>185</v>
      </c>
      <c r="O79" s="44" t="s">
        <v>185</v>
      </c>
      <c r="P79" s="44" t="s">
        <v>185</v>
      </c>
      <c r="Q79" s="44" t="s">
        <v>185</v>
      </c>
      <c r="R79" s="51" t="s">
        <v>185</v>
      </c>
      <c r="S79" s="14">
        <v>0</v>
      </c>
      <c r="T79" s="45">
        <v>200</v>
      </c>
    </row>
    <row r="80" spans="1:20" s="14" customFormat="1" ht="14.45" customHeight="1">
      <c r="A80" s="66" t="s">
        <v>7</v>
      </c>
      <c r="B80" s="66">
        <v>2</v>
      </c>
      <c r="C80" s="66">
        <v>8</v>
      </c>
      <c r="D80" t="s">
        <v>140</v>
      </c>
      <c r="E80" t="s">
        <v>141</v>
      </c>
      <c r="F80" t="s">
        <v>61</v>
      </c>
      <c r="G80" t="s">
        <v>158</v>
      </c>
      <c r="H80" s="44">
        <v>8.7050000000000001</v>
      </c>
      <c r="I80" s="44">
        <v>5.9610000000000003</v>
      </c>
      <c r="J80" s="44">
        <v>5.931</v>
      </c>
      <c r="K80" s="44">
        <v>6.0190000000000001</v>
      </c>
      <c r="L80" s="44">
        <v>6.1230000000000002</v>
      </c>
      <c r="M80" s="44">
        <v>5.9889999999999999</v>
      </c>
      <c r="N80" s="44">
        <v>5.7779999999999996</v>
      </c>
      <c r="O80" s="44">
        <v>6.0620000000000003</v>
      </c>
      <c r="P80" s="44">
        <v>6.2140000000000004</v>
      </c>
      <c r="Q80" s="44">
        <v>6.1890000000000001</v>
      </c>
      <c r="R80" s="51">
        <v>62.970999999999997</v>
      </c>
      <c r="S80" s="14">
        <v>0</v>
      </c>
      <c r="T80" s="45">
        <v>62.970999999999997</v>
      </c>
    </row>
    <row r="81" spans="1:20" s="14" customFormat="1" ht="14.45" customHeight="1">
      <c r="A81" s="66"/>
      <c r="B81" s="66"/>
      <c r="C81" s="66"/>
      <c r="D81" t="s">
        <v>43</v>
      </c>
      <c r="E81" t="s">
        <v>46</v>
      </c>
      <c r="F81" t="s">
        <v>145</v>
      </c>
      <c r="G81" t="s">
        <v>46</v>
      </c>
      <c r="H81" s="44">
        <v>8.5619999999999994</v>
      </c>
      <c r="I81" s="44">
        <v>6.3719999999999999</v>
      </c>
      <c r="J81" s="44">
        <v>5.9569999999999999</v>
      </c>
      <c r="K81" s="44">
        <v>6.1340000000000003</v>
      </c>
      <c r="L81" s="44">
        <v>6.0170000000000003</v>
      </c>
      <c r="M81" s="44">
        <v>6.2489999999999997</v>
      </c>
      <c r="N81" s="44">
        <v>5.9909999999999997</v>
      </c>
      <c r="O81" s="44">
        <v>6.3479999999999999</v>
      </c>
      <c r="P81" s="44">
        <v>6.7859999999999996</v>
      </c>
      <c r="Q81" s="44">
        <v>6.1580000000000004</v>
      </c>
      <c r="R81" s="51">
        <v>64.573999999999998</v>
      </c>
      <c r="S81" s="14">
        <v>0</v>
      </c>
      <c r="T81" s="45">
        <v>64.573999999999998</v>
      </c>
    </row>
    <row r="82" spans="1:20" s="14" customFormat="1" ht="14.45" customHeight="1">
      <c r="A82" s="66"/>
      <c r="B82" s="66"/>
      <c r="C82" s="66"/>
      <c r="D82" t="s">
        <v>134</v>
      </c>
      <c r="E82" t="s">
        <v>135</v>
      </c>
      <c r="F82" t="s">
        <v>136</v>
      </c>
      <c r="G82" t="s">
        <v>137</v>
      </c>
      <c r="H82" s="44">
        <v>9.173</v>
      </c>
      <c r="I82" s="44">
        <v>5.806</v>
      </c>
      <c r="J82" s="44">
        <v>5.7489999999999997</v>
      </c>
      <c r="K82" s="44">
        <v>5.9119999999999999</v>
      </c>
      <c r="L82" s="44">
        <v>5.931</v>
      </c>
      <c r="M82" s="44">
        <v>6.476</v>
      </c>
      <c r="N82" s="44">
        <v>6.9379999999999997</v>
      </c>
      <c r="O82" s="44">
        <v>7.0970000000000004</v>
      </c>
      <c r="P82" s="44">
        <v>7.6619999999999999</v>
      </c>
      <c r="Q82" s="44">
        <v>8.1969999999999992</v>
      </c>
      <c r="R82" s="51">
        <v>68.941000000000003</v>
      </c>
      <c r="S82" s="14">
        <v>0</v>
      </c>
      <c r="T82" s="45">
        <v>68.941000000000003</v>
      </c>
    </row>
    <row r="83" spans="1:20" s="14" customFormat="1" ht="14.45" customHeight="1">
      <c r="A83" s="66" t="s">
        <v>7</v>
      </c>
      <c r="B83" s="66">
        <v>2</v>
      </c>
      <c r="C83" s="66">
        <v>9</v>
      </c>
      <c r="D83" t="s">
        <v>153</v>
      </c>
      <c r="E83" t="s">
        <v>154</v>
      </c>
      <c r="F83" t="s">
        <v>155</v>
      </c>
      <c r="G83" t="s">
        <v>156</v>
      </c>
      <c r="H83" s="44">
        <v>9.0960000000000001</v>
      </c>
      <c r="I83" s="44">
        <v>5.766</v>
      </c>
      <c r="J83" s="44">
        <v>5.6580000000000004</v>
      </c>
      <c r="K83" s="44">
        <v>6.2839999999999998</v>
      </c>
      <c r="L83" s="44">
        <v>5.8520000000000003</v>
      </c>
      <c r="M83" s="44" t="s">
        <v>270</v>
      </c>
      <c r="N83" s="44">
        <v>5.9370000000000003</v>
      </c>
      <c r="O83" s="44">
        <v>5.99</v>
      </c>
      <c r="P83" s="44">
        <v>6.0990000000000002</v>
      </c>
      <c r="Q83" s="44">
        <v>6.2839999999999998</v>
      </c>
      <c r="R83" s="51">
        <v>62.356999999999999</v>
      </c>
      <c r="S83" s="14">
        <v>1</v>
      </c>
      <c r="T83" s="45">
        <v>68.592700000000008</v>
      </c>
    </row>
    <row r="84" spans="1:20" s="14" customFormat="1" ht="14.45" customHeight="1">
      <c r="A84" s="66"/>
      <c r="B84" s="66"/>
      <c r="C84" s="66"/>
      <c r="D84" t="s">
        <v>140</v>
      </c>
      <c r="E84" t="s">
        <v>151</v>
      </c>
      <c r="F84" t="s">
        <v>72</v>
      </c>
      <c r="G84" t="s">
        <v>152</v>
      </c>
      <c r="H84" s="44">
        <v>8.141</v>
      </c>
      <c r="I84" s="44">
        <v>5.9029999999999996</v>
      </c>
      <c r="J84" s="44">
        <v>5.4470000000000001</v>
      </c>
      <c r="K84" s="44">
        <v>6.27</v>
      </c>
      <c r="L84" s="44" t="s">
        <v>268</v>
      </c>
      <c r="M84" s="44">
        <v>5.3360000000000003</v>
      </c>
      <c r="N84" s="44">
        <v>5.9960000000000004</v>
      </c>
      <c r="O84" s="44">
        <v>5.5659999999999998</v>
      </c>
      <c r="P84" s="44">
        <v>6.1349999999999998</v>
      </c>
      <c r="Q84" s="44" t="s">
        <v>269</v>
      </c>
      <c r="R84" s="51" t="s">
        <v>185</v>
      </c>
      <c r="S84" s="14">
        <v>2</v>
      </c>
      <c r="T84" s="45">
        <v>200</v>
      </c>
    </row>
    <row r="85" spans="1:20" s="14" customFormat="1" ht="14.45" customHeight="1">
      <c r="A85" s="66"/>
      <c r="B85" s="66"/>
      <c r="C85" s="66"/>
      <c r="D85" t="s">
        <v>60</v>
      </c>
      <c r="E85" t="s">
        <v>146</v>
      </c>
      <c r="F85" t="s">
        <v>69</v>
      </c>
      <c r="G85" t="s">
        <v>70</v>
      </c>
      <c r="H85" s="44">
        <v>8.4130000000000003</v>
      </c>
      <c r="I85" s="44">
        <v>6.5019999999999998</v>
      </c>
      <c r="J85" s="44">
        <v>5.7220000000000004</v>
      </c>
      <c r="K85" s="44">
        <v>7.298</v>
      </c>
      <c r="L85" s="44">
        <v>6.9</v>
      </c>
      <c r="M85" s="44">
        <v>5.6580000000000004</v>
      </c>
      <c r="N85" s="44">
        <v>6.0839999999999996</v>
      </c>
      <c r="O85" s="44">
        <v>5.5910000000000002</v>
      </c>
      <c r="P85" s="44">
        <v>5.6520000000000001</v>
      </c>
      <c r="Q85" s="44">
        <v>5.2149999999999999</v>
      </c>
      <c r="R85" s="51">
        <v>63.034999999999997</v>
      </c>
      <c r="S85" s="14">
        <v>0</v>
      </c>
      <c r="T85" s="45">
        <v>63.034999999999997</v>
      </c>
    </row>
    <row r="86" spans="1:20" s="14" customFormat="1" ht="14.45" customHeight="1">
      <c r="A86" s="66" t="s">
        <v>7</v>
      </c>
      <c r="B86" s="66">
        <v>2</v>
      </c>
      <c r="C86" s="66">
        <v>10</v>
      </c>
      <c r="D86" t="s">
        <v>53</v>
      </c>
      <c r="E86" t="s">
        <v>54</v>
      </c>
      <c r="F86" t="s">
        <v>130</v>
      </c>
      <c r="G86" t="s">
        <v>131</v>
      </c>
      <c r="H86" s="44">
        <v>8.9329999999999998</v>
      </c>
      <c r="I86" s="44">
        <v>5.97</v>
      </c>
      <c r="J86" s="44">
        <v>6.024</v>
      </c>
      <c r="K86" s="44">
        <v>6.0129999999999999</v>
      </c>
      <c r="L86" s="44">
        <v>5.9580000000000002</v>
      </c>
      <c r="M86" s="44">
        <v>5.9960000000000004</v>
      </c>
      <c r="N86" s="44">
        <v>6.12</v>
      </c>
      <c r="O86" s="44">
        <v>5.5709999999999997</v>
      </c>
      <c r="P86" s="44">
        <v>6.18</v>
      </c>
      <c r="Q86" s="44">
        <v>5.9020000000000001</v>
      </c>
      <c r="R86" s="51">
        <v>62.667000000000002</v>
      </c>
      <c r="S86" s="14">
        <v>0</v>
      </c>
      <c r="T86" s="45">
        <v>62.667000000000002</v>
      </c>
    </row>
    <row r="87" spans="1:20" s="14" customFormat="1" ht="14.45" customHeight="1">
      <c r="A87" s="66"/>
      <c r="B87" s="66"/>
      <c r="C87" s="66"/>
      <c r="D87" t="s">
        <v>121</v>
      </c>
      <c r="E87" t="s">
        <v>120</v>
      </c>
      <c r="F87" t="s">
        <v>119</v>
      </c>
      <c r="G87" t="s">
        <v>120</v>
      </c>
      <c r="H87" s="44">
        <v>8.4429999999999996</v>
      </c>
      <c r="I87" s="44" t="s">
        <v>272</v>
      </c>
      <c r="J87" s="44">
        <v>6.0270000000000001</v>
      </c>
      <c r="K87" s="44">
        <v>6.3109999999999999</v>
      </c>
      <c r="L87" s="44">
        <v>5.4690000000000003</v>
      </c>
      <c r="M87" s="44">
        <v>6.32</v>
      </c>
      <c r="N87" s="44">
        <v>5.9649999999999999</v>
      </c>
      <c r="O87" s="44" t="s">
        <v>269</v>
      </c>
      <c r="P87" s="44" t="s">
        <v>185</v>
      </c>
      <c r="Q87" s="44" t="s">
        <v>185</v>
      </c>
      <c r="R87" s="51" t="s">
        <v>185</v>
      </c>
      <c r="S87" s="14">
        <v>2</v>
      </c>
      <c r="T87" s="45">
        <v>200</v>
      </c>
    </row>
    <row r="88" spans="1:20" s="14" customFormat="1" ht="14.45" customHeight="1">
      <c r="A88" s="66"/>
      <c r="B88" s="66"/>
      <c r="C88" s="66"/>
      <c r="D88" t="s">
        <v>61</v>
      </c>
      <c r="E88" t="s">
        <v>158</v>
      </c>
      <c r="F88" t="s">
        <v>140</v>
      </c>
      <c r="G88" t="s">
        <v>141</v>
      </c>
      <c r="H88" s="44">
        <v>8.5559999999999992</v>
      </c>
      <c r="I88" s="44">
        <v>5.7350000000000003</v>
      </c>
      <c r="J88" s="44">
        <v>5.734</v>
      </c>
      <c r="K88" s="44">
        <v>5.9480000000000004</v>
      </c>
      <c r="L88" s="44">
        <v>5.9480000000000004</v>
      </c>
      <c r="M88" s="44">
        <v>6.2439999999999998</v>
      </c>
      <c r="N88" s="44" t="s">
        <v>271</v>
      </c>
      <c r="O88" s="44">
        <v>6.0229999999999997</v>
      </c>
      <c r="P88" s="44">
        <v>6.226</v>
      </c>
      <c r="Q88" s="44">
        <v>7.367</v>
      </c>
      <c r="R88" s="51">
        <v>63.777000000000001</v>
      </c>
      <c r="S88" s="14">
        <v>1</v>
      </c>
      <c r="T88" s="45">
        <v>70.154700000000005</v>
      </c>
    </row>
    <row r="89" spans="1:20" s="14" customFormat="1" ht="14.45" customHeight="1">
      <c r="A89" s="66" t="s">
        <v>7</v>
      </c>
      <c r="B89" s="66">
        <v>2</v>
      </c>
      <c r="C89" s="66">
        <v>11</v>
      </c>
      <c r="D89" t="s">
        <v>142</v>
      </c>
      <c r="E89" t="s">
        <v>63</v>
      </c>
      <c r="F89" t="s">
        <v>62</v>
      </c>
      <c r="G89" t="s">
        <v>63</v>
      </c>
      <c r="H89" s="44">
        <v>9.25</v>
      </c>
      <c r="I89" s="44">
        <v>6.8090000000000002</v>
      </c>
      <c r="J89" s="44">
        <v>6.3380000000000001</v>
      </c>
      <c r="K89" s="44">
        <v>6.1470000000000002</v>
      </c>
      <c r="L89" s="44">
        <v>6.5220000000000002</v>
      </c>
      <c r="M89" s="44">
        <v>5.992</v>
      </c>
      <c r="N89" s="44">
        <v>6.0590000000000002</v>
      </c>
      <c r="O89" s="44">
        <v>6.7530000000000001</v>
      </c>
      <c r="P89" s="44">
        <v>6.5170000000000003</v>
      </c>
      <c r="Q89" s="44">
        <v>6.3579999999999997</v>
      </c>
      <c r="R89" s="51">
        <v>66.745000000000005</v>
      </c>
      <c r="S89" s="14">
        <v>0</v>
      </c>
      <c r="T89" s="45">
        <v>66.745000000000005</v>
      </c>
    </row>
    <row r="90" spans="1:20" s="14" customFormat="1" ht="14.45" customHeight="1">
      <c r="A90" s="66"/>
      <c r="B90" s="66"/>
      <c r="C90" s="66"/>
      <c r="D90" t="s">
        <v>134</v>
      </c>
      <c r="E90" t="s">
        <v>138</v>
      </c>
      <c r="F90" t="s">
        <v>134</v>
      </c>
      <c r="G90" t="s">
        <v>135</v>
      </c>
      <c r="H90" s="44">
        <v>9.1660000000000004</v>
      </c>
      <c r="I90" s="44">
        <v>6.907</v>
      </c>
      <c r="J90" s="44">
        <v>6.7</v>
      </c>
      <c r="K90" s="44">
        <v>7.6870000000000003</v>
      </c>
      <c r="L90" s="44">
        <v>6.6050000000000004</v>
      </c>
      <c r="M90" s="44">
        <v>6.9390000000000001</v>
      </c>
      <c r="N90" s="44">
        <v>6.8719999999999999</v>
      </c>
      <c r="O90" s="44">
        <v>7.7279999999999998</v>
      </c>
      <c r="P90" s="44">
        <v>6.976</v>
      </c>
      <c r="Q90" s="44">
        <v>6.548</v>
      </c>
      <c r="R90" s="51">
        <v>72.128</v>
      </c>
      <c r="S90" s="14">
        <v>0</v>
      </c>
      <c r="T90" s="45">
        <v>72.128</v>
      </c>
    </row>
    <row r="91" spans="1:20" s="14" customFormat="1" ht="14.45" customHeight="1">
      <c r="A91" s="66"/>
      <c r="B91" s="66"/>
      <c r="C91" s="66"/>
      <c r="D91" t="s">
        <v>64</v>
      </c>
      <c r="E91" t="s">
        <v>65</v>
      </c>
      <c r="F91" t="s">
        <v>143</v>
      </c>
      <c r="G91" t="s">
        <v>144</v>
      </c>
      <c r="H91" s="44">
        <v>11.978</v>
      </c>
      <c r="I91" s="44" t="s">
        <v>276</v>
      </c>
      <c r="J91" s="44">
        <v>8.1170000000000009</v>
      </c>
      <c r="K91" s="44">
        <v>7.8959999999999999</v>
      </c>
      <c r="L91" s="44">
        <v>7.9109999999999996</v>
      </c>
      <c r="M91" s="44" t="s">
        <v>186</v>
      </c>
      <c r="N91" s="44" t="s">
        <v>185</v>
      </c>
      <c r="O91" s="44" t="s">
        <v>185</v>
      </c>
      <c r="P91" s="44" t="s">
        <v>185</v>
      </c>
      <c r="Q91" s="44" t="s">
        <v>185</v>
      </c>
      <c r="R91" s="51" t="s">
        <v>185</v>
      </c>
      <c r="S91" s="14">
        <v>2</v>
      </c>
      <c r="T91" s="45">
        <v>200</v>
      </c>
    </row>
    <row r="92" spans="1:20" s="14" customFormat="1" ht="14.45" customHeight="1">
      <c r="A92" s="66" t="s">
        <v>31</v>
      </c>
      <c r="B92" s="66">
        <v>2</v>
      </c>
      <c r="C92" s="66">
        <v>1</v>
      </c>
      <c r="D92" t="s">
        <v>72</v>
      </c>
      <c r="E92" t="s">
        <v>152</v>
      </c>
      <c r="F92" t="s">
        <v>165</v>
      </c>
      <c r="G92" t="s">
        <v>152</v>
      </c>
      <c r="H92" s="44">
        <v>8.6110000000000007</v>
      </c>
      <c r="I92" s="44">
        <v>5.5229999999999997</v>
      </c>
      <c r="J92" s="44">
        <v>5.0830000000000002</v>
      </c>
      <c r="K92" s="44">
        <v>5.101</v>
      </c>
      <c r="L92" s="44">
        <v>5.0730000000000004</v>
      </c>
      <c r="M92" s="44">
        <v>5.1449999999999996</v>
      </c>
      <c r="N92" s="44">
        <v>5.34</v>
      </c>
      <c r="O92" s="44">
        <v>5.1349999999999998</v>
      </c>
      <c r="P92" s="44">
        <v>5.3339999999999996</v>
      </c>
      <c r="Q92" s="44">
        <v>5.0439999999999996</v>
      </c>
      <c r="R92" s="51">
        <v>55.389000000000003</v>
      </c>
      <c r="S92" s="14">
        <v>0</v>
      </c>
      <c r="T92" s="45">
        <v>55.389000000000003</v>
      </c>
    </row>
    <row r="93" spans="1:20" s="14" customFormat="1" ht="14.45" customHeight="1">
      <c r="A93" s="66"/>
      <c r="B93" s="66"/>
      <c r="C93" s="66"/>
      <c r="D93" t="s">
        <v>140</v>
      </c>
      <c r="E93" t="s">
        <v>141</v>
      </c>
      <c r="F93" t="s">
        <v>61</v>
      </c>
      <c r="G93" t="s">
        <v>158</v>
      </c>
      <c r="H93" s="44" t="s">
        <v>269</v>
      </c>
      <c r="I93" s="44" t="s">
        <v>185</v>
      </c>
      <c r="J93" s="44" t="s">
        <v>185</v>
      </c>
      <c r="K93" s="44" t="s">
        <v>185</v>
      </c>
      <c r="L93" s="44" t="s">
        <v>185</v>
      </c>
      <c r="M93" s="44" t="s">
        <v>185</v>
      </c>
      <c r="N93" s="44" t="s">
        <v>185</v>
      </c>
      <c r="O93" s="44" t="s">
        <v>185</v>
      </c>
      <c r="P93" s="44" t="s">
        <v>185</v>
      </c>
      <c r="Q93" s="44" t="s">
        <v>185</v>
      </c>
      <c r="R93" s="51" t="s">
        <v>185</v>
      </c>
      <c r="S93" s="14">
        <v>1</v>
      </c>
      <c r="T93" s="45">
        <v>200</v>
      </c>
    </row>
    <row r="94" spans="1:20" s="14" customFormat="1" ht="14.45" customHeight="1">
      <c r="A94" s="66"/>
      <c r="B94" s="66"/>
      <c r="C94" s="66"/>
      <c r="D94" t="s">
        <v>73</v>
      </c>
      <c r="E94" t="s">
        <v>161</v>
      </c>
      <c r="F94" t="s">
        <v>139</v>
      </c>
      <c r="G94" t="s">
        <v>50</v>
      </c>
      <c r="H94" s="44" t="s">
        <v>185</v>
      </c>
      <c r="I94" s="44" t="s">
        <v>185</v>
      </c>
      <c r="J94" s="44" t="s">
        <v>185</v>
      </c>
      <c r="K94" s="44" t="s">
        <v>185</v>
      </c>
      <c r="L94" s="44" t="s">
        <v>185</v>
      </c>
      <c r="M94" s="44" t="s">
        <v>185</v>
      </c>
      <c r="N94" s="44" t="s">
        <v>185</v>
      </c>
      <c r="O94" s="44" t="s">
        <v>185</v>
      </c>
      <c r="P94" s="44" t="s">
        <v>185</v>
      </c>
      <c r="Q94" s="44" t="s">
        <v>185</v>
      </c>
      <c r="R94" s="51" t="s">
        <v>185</v>
      </c>
      <c r="S94" s="14">
        <v>0</v>
      </c>
      <c r="T94" s="45">
        <v>200</v>
      </c>
    </row>
    <row r="95" spans="1:20" s="14" customFormat="1" ht="14.45" customHeight="1">
      <c r="A95" s="66" t="s">
        <v>31</v>
      </c>
      <c r="B95" s="66">
        <v>2</v>
      </c>
      <c r="C95" s="66">
        <v>2</v>
      </c>
      <c r="D95" t="s">
        <v>71</v>
      </c>
      <c r="E95" t="s">
        <v>162</v>
      </c>
      <c r="F95" t="s">
        <v>163</v>
      </c>
      <c r="G95" t="s">
        <v>69</v>
      </c>
      <c r="H95" s="44">
        <v>8.0980000000000008</v>
      </c>
      <c r="I95" s="44" t="s">
        <v>273</v>
      </c>
      <c r="J95" s="44">
        <v>5.2249999999999996</v>
      </c>
      <c r="K95" s="44">
        <v>5.5960000000000001</v>
      </c>
      <c r="L95" s="44">
        <v>5.4390000000000001</v>
      </c>
      <c r="M95" s="44">
        <v>5.2830000000000004</v>
      </c>
      <c r="N95" s="44">
        <v>4.8220000000000001</v>
      </c>
      <c r="O95" s="44" t="s">
        <v>186</v>
      </c>
      <c r="P95" s="44" t="s">
        <v>185</v>
      </c>
      <c r="Q95" s="44" t="s">
        <v>185</v>
      </c>
      <c r="R95" s="51" t="s">
        <v>185</v>
      </c>
      <c r="S95" s="14">
        <v>2</v>
      </c>
      <c r="T95" s="45">
        <v>200</v>
      </c>
    </row>
    <row r="96" spans="1:20" s="14" customFormat="1" ht="14.45" customHeight="1">
      <c r="A96" s="66"/>
      <c r="B96" s="66"/>
      <c r="C96" s="66"/>
      <c r="D96" t="s">
        <v>69</v>
      </c>
      <c r="E96" t="s">
        <v>70</v>
      </c>
      <c r="F96" t="s">
        <v>64</v>
      </c>
      <c r="G96" t="s">
        <v>164</v>
      </c>
      <c r="H96" s="44">
        <v>10.157</v>
      </c>
      <c r="I96" s="44">
        <v>5.9539999999999997</v>
      </c>
      <c r="J96" s="44">
        <v>6.0739999999999998</v>
      </c>
      <c r="K96" s="44">
        <v>5.7549999999999999</v>
      </c>
      <c r="L96" s="44">
        <v>6.1219999999999999</v>
      </c>
      <c r="M96" s="44">
        <v>5.7460000000000004</v>
      </c>
      <c r="N96" s="44">
        <v>5.673</v>
      </c>
      <c r="O96" s="44">
        <v>6.0650000000000004</v>
      </c>
      <c r="P96" s="44">
        <v>5.9390000000000001</v>
      </c>
      <c r="Q96" s="44">
        <v>5.508</v>
      </c>
      <c r="R96" s="51">
        <v>62.993000000000002</v>
      </c>
      <c r="S96" s="14">
        <v>0</v>
      </c>
      <c r="T96" s="45">
        <v>62.993000000000002</v>
      </c>
    </row>
    <row r="97" spans="1:20" s="14" customFormat="1" ht="14.45" customHeight="1">
      <c r="A97" s="66"/>
      <c r="B97" s="66"/>
      <c r="C97" s="66"/>
      <c r="D97" t="s">
        <v>121</v>
      </c>
      <c r="E97" t="s">
        <v>120</v>
      </c>
      <c r="F97" t="s">
        <v>119</v>
      </c>
      <c r="G97" t="s">
        <v>120</v>
      </c>
      <c r="H97" s="44">
        <v>10.167999999999999</v>
      </c>
      <c r="I97" s="44">
        <v>6.774</v>
      </c>
      <c r="J97" s="44">
        <v>6.1870000000000003</v>
      </c>
      <c r="K97" s="44">
        <v>6.327</v>
      </c>
      <c r="L97" s="44">
        <v>6.1609999999999996</v>
      </c>
      <c r="M97" s="44">
        <v>6.0430000000000001</v>
      </c>
      <c r="N97" s="44">
        <v>6.093</v>
      </c>
      <c r="O97" s="44">
        <v>6.1130000000000004</v>
      </c>
      <c r="P97" s="44">
        <v>6.2489999999999997</v>
      </c>
      <c r="Q97" s="44">
        <v>5.9809999999999999</v>
      </c>
      <c r="R97" s="51">
        <v>66.096000000000004</v>
      </c>
      <c r="S97" s="14">
        <v>0</v>
      </c>
      <c r="T97" s="45">
        <v>66.096000000000004</v>
      </c>
    </row>
    <row r="98" spans="1:20" s="14" customFormat="1" ht="14.45" customHeight="1">
      <c r="A98" s="66" t="s">
        <v>31</v>
      </c>
      <c r="B98" s="66">
        <v>2</v>
      </c>
      <c r="C98" s="66">
        <v>3</v>
      </c>
      <c r="D98" t="s">
        <v>59</v>
      </c>
      <c r="E98" t="s">
        <v>120</v>
      </c>
      <c r="F98" t="s">
        <v>119</v>
      </c>
      <c r="G98" t="s">
        <v>120</v>
      </c>
      <c r="H98" s="44">
        <v>9.5530000000000008</v>
      </c>
      <c r="I98" s="44">
        <v>5.8719999999999999</v>
      </c>
      <c r="J98" s="44" t="s">
        <v>185</v>
      </c>
      <c r="K98" s="44" t="s">
        <v>185</v>
      </c>
      <c r="L98" s="44" t="s">
        <v>185</v>
      </c>
      <c r="M98" s="44" t="s">
        <v>185</v>
      </c>
      <c r="N98" s="44" t="s">
        <v>185</v>
      </c>
      <c r="O98" s="44" t="s">
        <v>185</v>
      </c>
      <c r="P98" s="44" t="s">
        <v>185</v>
      </c>
      <c r="Q98" s="44" t="s">
        <v>185</v>
      </c>
      <c r="R98" s="51" t="s">
        <v>185</v>
      </c>
      <c r="S98" s="14">
        <v>0</v>
      </c>
      <c r="T98" s="45">
        <v>200</v>
      </c>
    </row>
    <row r="99" spans="1:20" s="14" customFormat="1" ht="14.45" customHeight="1">
      <c r="A99" s="66"/>
      <c r="B99" s="66"/>
      <c r="C99" s="66"/>
      <c r="D99" t="s">
        <v>52</v>
      </c>
      <c r="E99" t="s">
        <v>125</v>
      </c>
      <c r="F99" t="s">
        <v>56</v>
      </c>
      <c r="G99" t="s">
        <v>57</v>
      </c>
      <c r="H99" s="44" t="s">
        <v>318</v>
      </c>
      <c r="I99" s="44">
        <v>6.3789999999999996</v>
      </c>
      <c r="J99" s="44">
        <v>5.8970000000000002</v>
      </c>
      <c r="K99" s="44">
        <v>5.6239999999999997</v>
      </c>
      <c r="L99" s="44">
        <v>5.681</v>
      </c>
      <c r="M99" s="44">
        <v>5.4260000000000002</v>
      </c>
      <c r="N99" s="44">
        <v>5.5949999999999998</v>
      </c>
      <c r="O99" s="44">
        <v>5.7060000000000004</v>
      </c>
      <c r="P99" s="44">
        <v>5.4790000000000001</v>
      </c>
      <c r="Q99" s="44">
        <v>5.6669999999999998</v>
      </c>
      <c r="R99" s="51">
        <v>59.49</v>
      </c>
      <c r="S99" s="14">
        <v>0</v>
      </c>
      <c r="T99" s="45">
        <v>59.49</v>
      </c>
    </row>
    <row r="100" spans="1:20" s="14" customFormat="1" ht="14.45" customHeight="1">
      <c r="A100" s="66"/>
      <c r="B100" s="66"/>
      <c r="C100" s="66"/>
      <c r="D100" t="s">
        <v>160</v>
      </c>
      <c r="E100" t="s">
        <v>159</v>
      </c>
      <c r="F100" t="s">
        <v>51</v>
      </c>
      <c r="G100" t="s">
        <v>183</v>
      </c>
      <c r="H100" s="44">
        <v>9.9510000000000005</v>
      </c>
      <c r="I100" s="44">
        <v>6.8239999999999998</v>
      </c>
      <c r="J100" s="44">
        <v>8.9220000000000006</v>
      </c>
      <c r="K100" s="44">
        <v>6.3310000000000004</v>
      </c>
      <c r="L100" s="44" t="s">
        <v>185</v>
      </c>
      <c r="M100" s="44" t="s">
        <v>185</v>
      </c>
      <c r="N100" s="44" t="s">
        <v>185</v>
      </c>
      <c r="O100" s="44" t="s">
        <v>185</v>
      </c>
      <c r="P100" s="44" t="s">
        <v>185</v>
      </c>
      <c r="Q100" s="44" t="s">
        <v>185</v>
      </c>
      <c r="R100" s="51" t="s">
        <v>185</v>
      </c>
      <c r="S100" s="14">
        <v>0</v>
      </c>
      <c r="T100" s="45">
        <v>200</v>
      </c>
    </row>
    <row r="101" spans="1:20" s="14" customFormat="1" ht="14.45" customHeight="1">
      <c r="A101" s="66" t="s">
        <v>31</v>
      </c>
      <c r="B101" s="66">
        <v>2</v>
      </c>
      <c r="C101" s="66">
        <v>4</v>
      </c>
      <c r="D101" t="s">
        <v>40</v>
      </c>
      <c r="E101" t="s">
        <v>40</v>
      </c>
      <c r="F101" t="s">
        <v>41</v>
      </c>
      <c r="G101" t="s">
        <v>41</v>
      </c>
      <c r="H101" s="44" t="s">
        <v>185</v>
      </c>
      <c r="I101" s="44" t="s">
        <v>185</v>
      </c>
      <c r="J101" s="44" t="s">
        <v>185</v>
      </c>
      <c r="K101" s="44" t="s">
        <v>185</v>
      </c>
      <c r="L101" s="44" t="s">
        <v>185</v>
      </c>
      <c r="M101" s="44" t="s">
        <v>185</v>
      </c>
      <c r="N101" s="44" t="s">
        <v>185</v>
      </c>
      <c r="O101" s="44" t="s">
        <v>185</v>
      </c>
      <c r="P101" s="44" t="s">
        <v>185</v>
      </c>
      <c r="Q101" s="44" t="s">
        <v>185</v>
      </c>
      <c r="R101" s="51" t="s">
        <v>185</v>
      </c>
      <c r="S101" s="14">
        <v>0</v>
      </c>
      <c r="T101" s="45">
        <v>200</v>
      </c>
    </row>
    <row r="102" spans="1:20" s="14" customFormat="1" ht="14.45" customHeight="1">
      <c r="A102" s="66"/>
      <c r="B102" s="66"/>
      <c r="C102" s="66"/>
      <c r="D102" t="s">
        <v>61</v>
      </c>
      <c r="E102" t="s">
        <v>158</v>
      </c>
      <c r="F102" t="s">
        <v>140</v>
      </c>
      <c r="G102" t="s">
        <v>141</v>
      </c>
      <c r="H102" s="44">
        <v>8.9030000000000005</v>
      </c>
      <c r="I102" s="44">
        <v>6.5049999999999999</v>
      </c>
      <c r="J102" s="44">
        <v>6.2169999999999996</v>
      </c>
      <c r="K102" s="44">
        <v>5.7709999999999999</v>
      </c>
      <c r="L102" s="44">
        <v>5.9950000000000001</v>
      </c>
      <c r="M102" s="44">
        <v>5.556</v>
      </c>
      <c r="N102" s="44">
        <v>5.681</v>
      </c>
      <c r="O102" s="44">
        <v>5.9020000000000001</v>
      </c>
      <c r="P102" s="44">
        <v>5.7709999999999999</v>
      </c>
      <c r="Q102" s="44">
        <v>5.44</v>
      </c>
      <c r="R102" s="51">
        <v>61.741</v>
      </c>
      <c r="S102" s="14">
        <v>0</v>
      </c>
      <c r="T102" s="45">
        <v>61.741</v>
      </c>
    </row>
    <row r="103" spans="1:20" s="14" customFormat="1" ht="14.45" customHeight="1">
      <c r="A103" s="66"/>
      <c r="B103" s="66"/>
      <c r="C103" s="66"/>
      <c r="D103" t="s">
        <v>50</v>
      </c>
      <c r="E103" t="s">
        <v>139</v>
      </c>
      <c r="F103" t="s">
        <v>49</v>
      </c>
      <c r="G103" t="s">
        <v>148</v>
      </c>
      <c r="H103" s="44">
        <v>8.9990000000000006</v>
      </c>
      <c r="I103" s="44">
        <v>6.5279999999999996</v>
      </c>
      <c r="J103" s="44">
        <v>6.0810000000000004</v>
      </c>
      <c r="K103" s="44">
        <v>5.944</v>
      </c>
      <c r="L103" s="44">
        <v>5.6219999999999999</v>
      </c>
      <c r="M103" s="44">
        <v>5.6479999999999997</v>
      </c>
      <c r="N103" s="44">
        <v>6.2350000000000003</v>
      </c>
      <c r="O103" s="44">
        <v>5.4370000000000003</v>
      </c>
      <c r="P103" s="44">
        <v>6.008</v>
      </c>
      <c r="Q103" s="44">
        <v>5.4580000000000002</v>
      </c>
      <c r="R103" s="51">
        <v>61.96</v>
      </c>
      <c r="S103" s="14">
        <v>0</v>
      </c>
      <c r="T103" s="45">
        <v>61.96</v>
      </c>
    </row>
    <row r="104" spans="1:20" s="14" customFormat="1" ht="14.45" customHeight="1">
      <c r="A104" s="66" t="s">
        <v>6</v>
      </c>
      <c r="B104" s="66">
        <v>3</v>
      </c>
      <c r="C104" s="66">
        <v>1</v>
      </c>
      <c r="D104" t="s">
        <v>119</v>
      </c>
      <c r="E104" t="s">
        <v>120</v>
      </c>
      <c r="F104" t="s">
        <v>121</v>
      </c>
      <c r="G104" t="s">
        <v>120</v>
      </c>
      <c r="H104" s="44">
        <v>17.762</v>
      </c>
      <c r="I104" s="44">
        <v>13.1</v>
      </c>
      <c r="J104" s="44">
        <v>13.997999999999999</v>
      </c>
      <c r="K104" s="44">
        <v>13.1</v>
      </c>
      <c r="L104" s="44">
        <v>13.134</v>
      </c>
      <c r="M104" s="44">
        <v>12.534000000000001</v>
      </c>
      <c r="N104" s="44">
        <v>12.157999999999999</v>
      </c>
      <c r="O104" s="44">
        <v>12.871</v>
      </c>
      <c r="P104" s="44">
        <v>13.897</v>
      </c>
      <c r="Q104" s="44">
        <v>13.086</v>
      </c>
      <c r="R104" s="51">
        <v>135.63999999999999</v>
      </c>
      <c r="S104" s="14">
        <v>0</v>
      </c>
      <c r="T104" s="45">
        <v>135.63999999999999</v>
      </c>
    </row>
    <row r="105" spans="1:20" s="14" customFormat="1" ht="14.45" customHeight="1">
      <c r="A105" s="66"/>
      <c r="B105" s="66"/>
      <c r="C105" s="66"/>
      <c r="D105" t="s">
        <v>40</v>
      </c>
      <c r="E105" t="s">
        <v>40</v>
      </c>
      <c r="F105" t="s">
        <v>41</v>
      </c>
      <c r="G105" t="s">
        <v>41</v>
      </c>
      <c r="H105" s="44" t="s">
        <v>185</v>
      </c>
      <c r="I105" s="44" t="s">
        <v>185</v>
      </c>
      <c r="J105" s="44" t="s">
        <v>185</v>
      </c>
      <c r="K105" s="44" t="s">
        <v>185</v>
      </c>
      <c r="L105" s="44" t="s">
        <v>185</v>
      </c>
      <c r="M105" s="44" t="s">
        <v>185</v>
      </c>
      <c r="N105" s="44" t="s">
        <v>185</v>
      </c>
      <c r="O105" s="44" t="s">
        <v>185</v>
      </c>
      <c r="P105" s="44" t="s">
        <v>185</v>
      </c>
      <c r="Q105" s="44" t="s">
        <v>185</v>
      </c>
      <c r="R105" s="51" t="s">
        <v>185</v>
      </c>
      <c r="S105" s="14">
        <v>0</v>
      </c>
      <c r="T105" s="45">
        <v>200</v>
      </c>
    </row>
    <row r="106" spans="1:20" s="14" customFormat="1" ht="14.45" customHeight="1">
      <c r="A106" s="66"/>
      <c r="B106" s="66"/>
      <c r="C106" s="66"/>
      <c r="D106" t="s">
        <v>116</v>
      </c>
      <c r="E106" t="s">
        <v>117</v>
      </c>
      <c r="F106" t="s">
        <v>118</v>
      </c>
      <c r="G106" t="s">
        <v>122</v>
      </c>
      <c r="H106" s="44">
        <v>16.565999999999999</v>
      </c>
      <c r="I106" s="44">
        <v>11.241</v>
      </c>
      <c r="J106" s="44">
        <v>12.87</v>
      </c>
      <c r="K106" s="44">
        <v>11.798</v>
      </c>
      <c r="L106" s="44">
        <v>12.461</v>
      </c>
      <c r="M106" s="44">
        <v>11.988</v>
      </c>
      <c r="N106" s="44">
        <v>14.561</v>
      </c>
      <c r="O106" s="44">
        <v>13.105</v>
      </c>
      <c r="P106" s="44">
        <v>12.417999999999999</v>
      </c>
      <c r="Q106" s="44">
        <v>13.276999999999999</v>
      </c>
      <c r="R106" s="51">
        <v>130.285</v>
      </c>
      <c r="S106" s="14">
        <v>0</v>
      </c>
      <c r="T106" s="45">
        <v>130.285</v>
      </c>
    </row>
    <row r="107" spans="1:20" s="14" customFormat="1" ht="14.45" customHeight="1">
      <c r="A107" s="66" t="s">
        <v>7</v>
      </c>
      <c r="B107" s="66">
        <v>3</v>
      </c>
      <c r="C107" s="66">
        <v>1</v>
      </c>
      <c r="D107" t="s">
        <v>66</v>
      </c>
      <c r="E107" t="s">
        <v>67</v>
      </c>
      <c r="F107" t="s">
        <v>43</v>
      </c>
      <c r="G107" t="s">
        <v>46</v>
      </c>
      <c r="H107" s="44">
        <v>9.35</v>
      </c>
      <c r="I107" s="44">
        <v>6.2140000000000004</v>
      </c>
      <c r="J107" s="44">
        <v>5.8639999999999999</v>
      </c>
      <c r="K107" s="44">
        <v>5.6</v>
      </c>
      <c r="L107" s="44">
        <v>5.6639999999999997</v>
      </c>
      <c r="M107" s="44">
        <v>5.9450000000000003</v>
      </c>
      <c r="N107" s="44">
        <v>5.593</v>
      </c>
      <c r="O107" s="44">
        <v>5.9450000000000003</v>
      </c>
      <c r="P107" s="44" t="s">
        <v>277</v>
      </c>
      <c r="Q107" s="44">
        <v>5.6369999999999996</v>
      </c>
      <c r="R107" s="51">
        <v>61.75</v>
      </c>
      <c r="S107" s="14">
        <v>1</v>
      </c>
      <c r="T107" s="45">
        <v>67.925000000000011</v>
      </c>
    </row>
    <row r="108" spans="1:20" s="14" customFormat="1" ht="14.45" customHeight="1">
      <c r="A108" s="66"/>
      <c r="B108" s="66"/>
      <c r="C108" s="66"/>
      <c r="D108" t="s">
        <v>126</v>
      </c>
      <c r="E108" t="s">
        <v>127</v>
      </c>
      <c r="F108" t="s">
        <v>58</v>
      </c>
      <c r="G108" t="s">
        <v>127</v>
      </c>
      <c r="H108" s="44">
        <v>8.3369999999999997</v>
      </c>
      <c r="I108" s="44">
        <v>5.6859999999999999</v>
      </c>
      <c r="J108" s="44">
        <v>5.9119999999999999</v>
      </c>
      <c r="K108" s="44">
        <v>5.8250000000000002</v>
      </c>
      <c r="L108" s="44">
        <v>5.5010000000000003</v>
      </c>
      <c r="M108" s="44">
        <v>5.5609999999999999</v>
      </c>
      <c r="N108" s="44">
        <v>5.1909999999999998</v>
      </c>
      <c r="O108" s="44">
        <v>5.7190000000000003</v>
      </c>
      <c r="P108" s="44">
        <v>5.548</v>
      </c>
      <c r="Q108" s="44">
        <v>6.274</v>
      </c>
      <c r="R108" s="51">
        <v>59.554000000000002</v>
      </c>
      <c r="S108" s="14">
        <v>0</v>
      </c>
      <c r="T108" s="45">
        <v>59.554000000000002</v>
      </c>
    </row>
    <row r="109" spans="1:20" s="14" customFormat="1" ht="14.45" customHeight="1">
      <c r="A109" s="66"/>
      <c r="B109" s="66"/>
      <c r="C109" s="66"/>
      <c r="D109" t="s">
        <v>68</v>
      </c>
      <c r="E109" t="s">
        <v>63</v>
      </c>
      <c r="F109" t="s">
        <v>142</v>
      </c>
      <c r="G109" t="s">
        <v>63</v>
      </c>
      <c r="H109" s="44">
        <v>9.7210000000000001</v>
      </c>
      <c r="I109" s="44">
        <v>5.8390000000000004</v>
      </c>
      <c r="J109" s="44">
        <v>5.9589999999999996</v>
      </c>
      <c r="K109" s="44">
        <v>6.4</v>
      </c>
      <c r="L109" s="44">
        <v>6.3339999999999996</v>
      </c>
      <c r="M109" s="44">
        <v>6.101</v>
      </c>
      <c r="N109" s="44">
        <v>6.1820000000000004</v>
      </c>
      <c r="O109" s="44">
        <v>6.3550000000000004</v>
      </c>
      <c r="P109" s="44">
        <v>6.6269999999999998</v>
      </c>
      <c r="Q109" s="44">
        <v>6.3620000000000001</v>
      </c>
      <c r="R109" s="51">
        <v>65.88</v>
      </c>
      <c r="S109" s="14">
        <v>0</v>
      </c>
      <c r="T109" s="45">
        <v>65.88</v>
      </c>
    </row>
    <row r="110" spans="1:20" s="14" customFormat="1" ht="14.45" customHeight="1">
      <c r="A110" s="66" t="s">
        <v>7</v>
      </c>
      <c r="B110" s="66">
        <v>3</v>
      </c>
      <c r="C110" s="66">
        <v>2</v>
      </c>
      <c r="D110" t="s">
        <v>49</v>
      </c>
      <c r="E110" t="s">
        <v>148</v>
      </c>
      <c r="F110" t="s">
        <v>52</v>
      </c>
      <c r="G110" t="s">
        <v>125</v>
      </c>
      <c r="H110" s="44">
        <v>9.4619999999999997</v>
      </c>
      <c r="I110" s="44">
        <v>5.9139999999999997</v>
      </c>
      <c r="J110" s="44">
        <v>5.6669999999999998</v>
      </c>
      <c r="K110" s="44">
        <v>5.6920000000000002</v>
      </c>
      <c r="L110" s="44">
        <v>5.9169999999999998</v>
      </c>
      <c r="M110" s="44">
        <v>5.617</v>
      </c>
      <c r="N110" s="44">
        <v>5.524</v>
      </c>
      <c r="O110" s="44">
        <v>5.3639999999999999</v>
      </c>
      <c r="P110" s="44">
        <v>5.89</v>
      </c>
      <c r="Q110" s="44">
        <v>5.6269999999999998</v>
      </c>
      <c r="R110" s="51">
        <v>60.673999999999999</v>
      </c>
      <c r="S110" s="14">
        <v>0</v>
      </c>
      <c r="T110" s="45">
        <v>60.673999999999999</v>
      </c>
    </row>
    <row r="111" spans="1:20" s="14" customFormat="1" ht="14.45" customHeight="1">
      <c r="A111" s="66"/>
      <c r="B111" s="66"/>
      <c r="C111" s="66"/>
      <c r="D111" t="s">
        <v>62</v>
      </c>
      <c r="E111" t="s">
        <v>63</v>
      </c>
      <c r="F111" t="s">
        <v>68</v>
      </c>
      <c r="G111" t="s">
        <v>63</v>
      </c>
      <c r="H111" s="44">
        <v>9.2940000000000005</v>
      </c>
      <c r="I111" s="44">
        <v>6.468</v>
      </c>
      <c r="J111" s="44">
        <v>6.2489999999999997</v>
      </c>
      <c r="K111" s="44">
        <v>6.0140000000000002</v>
      </c>
      <c r="L111" s="44">
        <v>6.4409999999999998</v>
      </c>
      <c r="M111" s="44">
        <v>6.3120000000000003</v>
      </c>
      <c r="N111" s="44">
        <v>6.258</v>
      </c>
      <c r="O111" s="44">
        <v>6.0540000000000003</v>
      </c>
      <c r="P111" s="44">
        <v>5.9189999999999996</v>
      </c>
      <c r="Q111" s="44">
        <v>5.952</v>
      </c>
      <c r="R111" s="51">
        <v>64.960999999999999</v>
      </c>
      <c r="S111" s="14">
        <v>0</v>
      </c>
      <c r="T111" s="45">
        <v>64.960999999999999</v>
      </c>
    </row>
    <row r="112" spans="1:20" s="14" customFormat="1" ht="14.45" customHeight="1">
      <c r="A112" s="66"/>
      <c r="B112" s="66"/>
      <c r="C112" s="66"/>
      <c r="D112" t="s">
        <v>128</v>
      </c>
      <c r="E112" t="s">
        <v>129</v>
      </c>
      <c r="F112" t="s">
        <v>58</v>
      </c>
      <c r="G112" t="s">
        <v>127</v>
      </c>
      <c r="H112" s="44">
        <v>8.7059999999999995</v>
      </c>
      <c r="I112" s="44">
        <v>6.6870000000000003</v>
      </c>
      <c r="J112" s="44">
        <v>6.5890000000000004</v>
      </c>
      <c r="K112" s="44">
        <v>7.6109999999999998</v>
      </c>
      <c r="L112" s="44" t="s">
        <v>185</v>
      </c>
      <c r="M112" s="44" t="s">
        <v>185</v>
      </c>
      <c r="N112" s="44" t="s">
        <v>185</v>
      </c>
      <c r="O112" s="44" t="s">
        <v>185</v>
      </c>
      <c r="P112" s="44" t="s">
        <v>185</v>
      </c>
      <c r="Q112" s="44" t="s">
        <v>185</v>
      </c>
      <c r="R112" s="51" t="s">
        <v>185</v>
      </c>
      <c r="S112" s="14">
        <v>0</v>
      </c>
      <c r="T112" s="45">
        <v>200</v>
      </c>
    </row>
    <row r="113" spans="1:20" s="14" customFormat="1" ht="14.45" customHeight="1">
      <c r="A113" s="66" t="s">
        <v>7</v>
      </c>
      <c r="B113" s="66">
        <v>3</v>
      </c>
      <c r="C113" s="66">
        <v>3</v>
      </c>
      <c r="D113" t="s">
        <v>177</v>
      </c>
      <c r="E113" t="s">
        <v>178</v>
      </c>
      <c r="F113" t="s">
        <v>45</v>
      </c>
      <c r="G113" t="s">
        <v>44</v>
      </c>
      <c r="H113" s="44">
        <v>10.507</v>
      </c>
      <c r="I113" s="44">
        <v>7.7030000000000003</v>
      </c>
      <c r="J113" s="44">
        <v>7.5679999999999996</v>
      </c>
      <c r="K113" s="44">
        <v>7.1529999999999996</v>
      </c>
      <c r="L113" s="44">
        <v>7.1589999999999998</v>
      </c>
      <c r="M113" s="44">
        <v>6.8090000000000002</v>
      </c>
      <c r="N113" s="44">
        <v>6.9429999999999996</v>
      </c>
      <c r="O113" s="44">
        <v>6.8029999999999999</v>
      </c>
      <c r="P113" s="44">
        <v>7.343</v>
      </c>
      <c r="Q113" s="44">
        <v>6.4080000000000004</v>
      </c>
      <c r="R113" s="51">
        <v>74.396000000000001</v>
      </c>
      <c r="S113" s="14">
        <v>0</v>
      </c>
      <c r="T113" s="45">
        <v>74.396000000000001</v>
      </c>
    </row>
    <row r="114" spans="1:20" s="14" customFormat="1" ht="14.45" customHeight="1">
      <c r="A114" s="66"/>
      <c r="B114" s="66"/>
      <c r="C114" s="66"/>
      <c r="D114" t="s">
        <v>149</v>
      </c>
      <c r="E114" t="s">
        <v>150</v>
      </c>
      <c r="F114" t="s">
        <v>160</v>
      </c>
      <c r="G114" t="s">
        <v>159</v>
      </c>
      <c r="H114" s="44">
        <v>9.43</v>
      </c>
      <c r="I114" s="44">
        <v>6.9059999999999997</v>
      </c>
      <c r="J114" s="44" t="s">
        <v>278</v>
      </c>
      <c r="K114" s="44">
        <v>6.9130000000000003</v>
      </c>
      <c r="L114" s="44">
        <v>6.9960000000000004</v>
      </c>
      <c r="M114" s="44">
        <v>6.1689999999999996</v>
      </c>
      <c r="N114" s="44">
        <v>6.5339999999999998</v>
      </c>
      <c r="O114" s="44">
        <v>6.4690000000000003</v>
      </c>
      <c r="P114" s="44">
        <v>7.048</v>
      </c>
      <c r="Q114" s="44">
        <v>7.0350000000000001</v>
      </c>
      <c r="R114" s="51">
        <v>69.741</v>
      </c>
      <c r="S114" s="14">
        <v>1</v>
      </c>
      <c r="T114" s="45">
        <v>76.715100000000007</v>
      </c>
    </row>
    <row r="115" spans="1:20" s="14" customFormat="1" ht="14.45" customHeight="1">
      <c r="A115" s="66"/>
      <c r="B115" s="66"/>
      <c r="C115" s="66"/>
      <c r="D115" t="s">
        <v>51</v>
      </c>
      <c r="E115" t="s">
        <v>183</v>
      </c>
      <c r="F115" t="s">
        <v>130</v>
      </c>
      <c r="G115" t="s">
        <v>131</v>
      </c>
      <c r="H115" s="44">
        <v>9.2110000000000003</v>
      </c>
      <c r="I115" s="44">
        <v>5.9930000000000003</v>
      </c>
      <c r="J115" s="44">
        <v>5.8789999999999996</v>
      </c>
      <c r="K115" s="44">
        <v>6.23</v>
      </c>
      <c r="L115" s="44">
        <v>6.242</v>
      </c>
      <c r="M115" s="44">
        <v>6.0270000000000001</v>
      </c>
      <c r="N115" s="44">
        <v>6.1109999999999998</v>
      </c>
      <c r="O115" s="44">
        <v>6.0149999999999997</v>
      </c>
      <c r="P115" s="44">
        <v>6.0579999999999998</v>
      </c>
      <c r="Q115" s="44">
        <v>5.98</v>
      </c>
      <c r="R115" s="51">
        <v>63.746000000000002</v>
      </c>
      <c r="S115" s="14">
        <v>0</v>
      </c>
      <c r="T115" s="45">
        <v>63.746000000000002</v>
      </c>
    </row>
    <row r="116" spans="1:20" s="14" customFormat="1" ht="14.45" customHeight="1">
      <c r="A116" s="66" t="s">
        <v>7</v>
      </c>
      <c r="B116" s="66">
        <v>3</v>
      </c>
      <c r="C116" s="66">
        <v>4</v>
      </c>
      <c r="D116" t="s">
        <v>40</v>
      </c>
      <c r="E116" t="s">
        <v>40</v>
      </c>
      <c r="F116" t="s">
        <v>41</v>
      </c>
      <c r="G116" t="s">
        <v>41</v>
      </c>
      <c r="H116" s="44" t="s">
        <v>185</v>
      </c>
      <c r="I116" s="44" t="s">
        <v>185</v>
      </c>
      <c r="J116" s="44" t="s">
        <v>185</v>
      </c>
      <c r="K116" s="44" t="s">
        <v>185</v>
      </c>
      <c r="L116" s="44" t="s">
        <v>185</v>
      </c>
      <c r="M116" s="44" t="s">
        <v>185</v>
      </c>
      <c r="N116" s="44" t="s">
        <v>185</v>
      </c>
      <c r="O116" s="44" t="s">
        <v>185</v>
      </c>
      <c r="P116" s="44" t="s">
        <v>185</v>
      </c>
      <c r="Q116" s="44" t="s">
        <v>185</v>
      </c>
      <c r="R116" s="51" t="s">
        <v>185</v>
      </c>
      <c r="S116" s="14">
        <v>0</v>
      </c>
      <c r="T116" s="45">
        <v>200</v>
      </c>
    </row>
    <row r="117" spans="1:20" s="14" customFormat="1" ht="14.45" customHeight="1">
      <c r="A117" s="66"/>
      <c r="B117" s="66"/>
      <c r="C117" s="66"/>
      <c r="D117" t="s">
        <v>59</v>
      </c>
      <c r="E117" t="s">
        <v>120</v>
      </c>
      <c r="F117" t="s">
        <v>119</v>
      </c>
      <c r="G117" t="s">
        <v>120</v>
      </c>
      <c r="H117" s="44">
        <v>10.007</v>
      </c>
      <c r="I117" s="44">
        <v>7.0659999999999998</v>
      </c>
      <c r="J117" s="44">
        <v>6.6559999999999997</v>
      </c>
      <c r="K117" s="44">
        <v>6.5579999999999998</v>
      </c>
      <c r="L117" s="44">
        <v>6.726</v>
      </c>
      <c r="M117" s="44">
        <v>7.0069999999999997</v>
      </c>
      <c r="N117" s="44">
        <v>6.8339999999999996</v>
      </c>
      <c r="O117" s="44">
        <v>6.9619999999999997</v>
      </c>
      <c r="P117" s="44">
        <v>6.7990000000000004</v>
      </c>
      <c r="Q117" s="44">
        <v>6.46</v>
      </c>
      <c r="R117" s="51">
        <v>71.075000000000003</v>
      </c>
      <c r="S117" s="14">
        <v>0</v>
      </c>
      <c r="T117" s="45">
        <v>71.075000000000003</v>
      </c>
    </row>
    <row r="118" spans="1:20" s="14" customFormat="1" ht="14.45" customHeight="1">
      <c r="A118" s="66"/>
      <c r="B118" s="66"/>
      <c r="C118" s="66"/>
      <c r="D118" t="s">
        <v>123</v>
      </c>
      <c r="E118" t="s">
        <v>124</v>
      </c>
      <c r="F118" t="s">
        <v>121</v>
      </c>
      <c r="G118" t="s">
        <v>120</v>
      </c>
      <c r="H118" s="44">
        <v>9.5299999999999994</v>
      </c>
      <c r="I118" s="44">
        <v>6.9050000000000002</v>
      </c>
      <c r="J118" s="44">
        <v>6.4509999999999996</v>
      </c>
      <c r="K118" s="44" t="s">
        <v>279</v>
      </c>
      <c r="L118" s="44">
        <v>7.5410000000000004</v>
      </c>
      <c r="M118" s="44">
        <v>7.2450000000000001</v>
      </c>
      <c r="N118" s="44">
        <v>7.1760000000000002</v>
      </c>
      <c r="O118" s="44">
        <v>7.4379999999999997</v>
      </c>
      <c r="P118" s="44">
        <v>7.1520000000000001</v>
      </c>
      <c r="Q118" s="44">
        <v>7.181</v>
      </c>
      <c r="R118" s="51">
        <v>73.903999999999996</v>
      </c>
      <c r="S118" s="14">
        <v>1</v>
      </c>
      <c r="T118" s="45">
        <v>81.294399999999996</v>
      </c>
    </row>
    <row r="119" spans="1:20" s="14" customFormat="1" ht="14.45" customHeight="1">
      <c r="A119" s="66" t="s">
        <v>7</v>
      </c>
      <c r="B119" s="66">
        <v>3</v>
      </c>
      <c r="C119" s="66">
        <v>5</v>
      </c>
      <c r="D119" t="s">
        <v>136</v>
      </c>
      <c r="E119" t="s">
        <v>137</v>
      </c>
      <c r="F119" t="s">
        <v>134</v>
      </c>
      <c r="G119" t="s">
        <v>135</v>
      </c>
      <c r="H119" s="44">
        <v>8.6790000000000003</v>
      </c>
      <c r="I119" s="44">
        <v>6.23</v>
      </c>
      <c r="J119" s="44">
        <v>5.6539999999999999</v>
      </c>
      <c r="K119" s="44" t="s">
        <v>280</v>
      </c>
      <c r="L119" s="44">
        <v>6.0049999999999999</v>
      </c>
      <c r="M119" s="44">
        <v>5.8369999999999997</v>
      </c>
      <c r="N119" s="44">
        <v>5.8769999999999998</v>
      </c>
      <c r="O119" s="44">
        <v>5.9880000000000004</v>
      </c>
      <c r="P119" s="44">
        <v>5.69</v>
      </c>
      <c r="Q119" s="44">
        <v>5.7839999999999998</v>
      </c>
      <c r="R119" s="51">
        <v>61.405000000000001</v>
      </c>
      <c r="S119" s="14">
        <v>1</v>
      </c>
      <c r="T119" s="45">
        <v>67.545500000000004</v>
      </c>
    </row>
    <row r="120" spans="1:20" s="14" customFormat="1" ht="14.45" customHeight="1">
      <c r="A120" s="66"/>
      <c r="B120" s="66"/>
      <c r="C120" s="66"/>
      <c r="D120" t="s">
        <v>55</v>
      </c>
      <c r="E120" t="s">
        <v>131</v>
      </c>
      <c r="F120" t="s">
        <v>53</v>
      </c>
      <c r="G120" t="s">
        <v>54</v>
      </c>
      <c r="H120" s="44">
        <v>8.3859999999999992</v>
      </c>
      <c r="I120" s="44">
        <v>5.7460000000000004</v>
      </c>
      <c r="J120" s="44">
        <v>5.4790000000000001</v>
      </c>
      <c r="K120" s="44">
        <v>5.4589999999999996</v>
      </c>
      <c r="L120" s="44">
        <v>5.3949999999999996</v>
      </c>
      <c r="M120" s="44">
        <v>5.6079999999999997</v>
      </c>
      <c r="N120" s="44">
        <v>5.5960000000000001</v>
      </c>
      <c r="O120" s="44">
        <v>5.5469999999999997</v>
      </c>
      <c r="P120" s="44">
        <v>5.3559999999999999</v>
      </c>
      <c r="Q120" s="44">
        <v>5.8010000000000002</v>
      </c>
      <c r="R120" s="51">
        <v>58.372999999999998</v>
      </c>
      <c r="S120" s="14">
        <v>0</v>
      </c>
      <c r="T120" s="45">
        <v>58.372999999999998</v>
      </c>
    </row>
    <row r="121" spans="1:20" s="14" customFormat="1" ht="14.45" customHeight="1">
      <c r="A121" s="66"/>
      <c r="B121" s="66"/>
      <c r="C121" s="66"/>
      <c r="D121" t="s">
        <v>52</v>
      </c>
      <c r="E121" t="s">
        <v>125</v>
      </c>
      <c r="F121" t="s">
        <v>56</v>
      </c>
      <c r="G121" t="s">
        <v>57</v>
      </c>
      <c r="H121" s="44" t="s">
        <v>185</v>
      </c>
      <c r="I121" s="44" t="s">
        <v>185</v>
      </c>
      <c r="J121" s="44" t="s">
        <v>185</v>
      </c>
      <c r="K121" s="44" t="s">
        <v>185</v>
      </c>
      <c r="L121" s="44" t="s">
        <v>185</v>
      </c>
      <c r="M121" s="44" t="s">
        <v>185</v>
      </c>
      <c r="N121" s="44" t="s">
        <v>185</v>
      </c>
      <c r="O121" s="44" t="s">
        <v>185</v>
      </c>
      <c r="P121" s="44" t="s">
        <v>185</v>
      </c>
      <c r="Q121" s="44" t="s">
        <v>185</v>
      </c>
      <c r="R121" s="51" t="s">
        <v>185</v>
      </c>
      <c r="S121" s="14">
        <v>0</v>
      </c>
      <c r="T121" s="45">
        <v>200</v>
      </c>
    </row>
    <row r="122" spans="1:20" s="14" customFormat="1" ht="14.45" customHeight="1">
      <c r="A122" s="66" t="s">
        <v>7</v>
      </c>
      <c r="B122" s="66">
        <v>3</v>
      </c>
      <c r="C122" s="66">
        <v>6</v>
      </c>
      <c r="D122" t="s">
        <v>45</v>
      </c>
      <c r="E122" t="s">
        <v>44</v>
      </c>
      <c r="F122" t="s">
        <v>177</v>
      </c>
      <c r="G122" t="s">
        <v>178</v>
      </c>
      <c r="H122" s="44" t="s">
        <v>185</v>
      </c>
      <c r="I122" s="44" t="s">
        <v>185</v>
      </c>
      <c r="J122" s="44" t="s">
        <v>185</v>
      </c>
      <c r="K122" s="44" t="s">
        <v>185</v>
      </c>
      <c r="L122" s="44" t="s">
        <v>185</v>
      </c>
      <c r="M122" s="44" t="s">
        <v>185</v>
      </c>
      <c r="N122" s="44" t="s">
        <v>185</v>
      </c>
      <c r="O122" s="44" t="s">
        <v>185</v>
      </c>
      <c r="P122" s="44" t="s">
        <v>185</v>
      </c>
      <c r="Q122" s="44" t="s">
        <v>185</v>
      </c>
      <c r="R122" s="51" t="s">
        <v>185</v>
      </c>
      <c r="S122" s="14">
        <v>0</v>
      </c>
      <c r="T122" s="45">
        <v>200</v>
      </c>
    </row>
    <row r="123" spans="1:20" s="14" customFormat="1" ht="14.45" customHeight="1">
      <c r="A123" s="66"/>
      <c r="B123" s="66"/>
      <c r="C123" s="66"/>
      <c r="D123" t="s">
        <v>140</v>
      </c>
      <c r="E123" t="s">
        <v>141</v>
      </c>
      <c r="F123" t="s">
        <v>61</v>
      </c>
      <c r="G123" t="s">
        <v>158</v>
      </c>
      <c r="H123" s="44">
        <v>9.2949999999999999</v>
      </c>
      <c r="I123" s="44">
        <v>5.8330000000000002</v>
      </c>
      <c r="J123" s="44">
        <v>5.6219999999999999</v>
      </c>
      <c r="K123" s="44">
        <v>6.0069999999999997</v>
      </c>
      <c r="L123" s="44">
        <v>5.5780000000000003</v>
      </c>
      <c r="M123" s="44">
        <v>5.9850000000000003</v>
      </c>
      <c r="N123" s="44">
        <v>5.673</v>
      </c>
      <c r="O123" s="44">
        <v>5.7409999999999997</v>
      </c>
      <c r="P123" s="44">
        <v>5.2389999999999999</v>
      </c>
      <c r="Q123" s="44">
        <v>5.7949999999999999</v>
      </c>
      <c r="R123" s="51">
        <v>60.768000000000001</v>
      </c>
      <c r="S123" s="14">
        <v>0</v>
      </c>
      <c r="T123" s="45">
        <v>60.768000000000001</v>
      </c>
    </row>
    <row r="124" spans="1:20" s="14" customFormat="1" ht="14.45" customHeight="1">
      <c r="A124" s="66"/>
      <c r="B124" s="66"/>
      <c r="C124" s="66"/>
      <c r="D124" t="s">
        <v>47</v>
      </c>
      <c r="E124" t="s">
        <v>48</v>
      </c>
      <c r="F124" t="s">
        <v>147</v>
      </c>
      <c r="G124" t="s">
        <v>48</v>
      </c>
      <c r="H124" s="44">
        <v>9.7620000000000005</v>
      </c>
      <c r="I124" s="44">
        <v>6.6340000000000003</v>
      </c>
      <c r="J124" s="44">
        <v>6.59</v>
      </c>
      <c r="K124" s="44">
        <v>6.617</v>
      </c>
      <c r="L124" s="44">
        <v>7.2910000000000004</v>
      </c>
      <c r="M124" s="44">
        <v>7.5010000000000003</v>
      </c>
      <c r="N124" s="44">
        <v>7.1950000000000003</v>
      </c>
      <c r="O124" s="44">
        <v>8.34</v>
      </c>
      <c r="P124" s="44">
        <v>6.742</v>
      </c>
      <c r="Q124" s="44">
        <v>7.76</v>
      </c>
      <c r="R124" s="51">
        <v>74.432000000000002</v>
      </c>
      <c r="S124" s="14">
        <v>0</v>
      </c>
      <c r="T124" s="45">
        <v>74.432000000000002</v>
      </c>
    </row>
    <row r="125" spans="1:20" s="14" customFormat="1" ht="14.45" customHeight="1">
      <c r="A125" s="66" t="s">
        <v>7</v>
      </c>
      <c r="B125" s="66">
        <v>3</v>
      </c>
      <c r="C125" s="66">
        <v>7</v>
      </c>
      <c r="D125" t="s">
        <v>134</v>
      </c>
      <c r="E125" t="s">
        <v>135</v>
      </c>
      <c r="F125" t="s">
        <v>136</v>
      </c>
      <c r="G125" t="s">
        <v>137</v>
      </c>
      <c r="H125" s="44">
        <v>9.5489999999999995</v>
      </c>
      <c r="I125" s="44">
        <v>6.1459999999999999</v>
      </c>
      <c r="J125" s="44">
        <v>6.1660000000000004</v>
      </c>
      <c r="K125" s="44">
        <v>6.4619999999999997</v>
      </c>
      <c r="L125" s="44">
        <v>6.1529999999999996</v>
      </c>
      <c r="M125" s="44">
        <v>6.1189999999999998</v>
      </c>
      <c r="N125" s="44">
        <v>6.4169999999999998</v>
      </c>
      <c r="O125" s="44">
        <v>6.2069999999999999</v>
      </c>
      <c r="P125" s="44">
        <v>6.0449999999999999</v>
      </c>
      <c r="Q125" s="44">
        <v>6.2590000000000003</v>
      </c>
      <c r="R125" s="51">
        <v>65.522999999999996</v>
      </c>
      <c r="S125" s="14">
        <v>0</v>
      </c>
      <c r="T125" s="45">
        <v>65.522999999999996</v>
      </c>
    </row>
    <row r="126" spans="1:20" s="14" customFormat="1" ht="14.45" customHeight="1">
      <c r="A126" s="66"/>
      <c r="B126" s="66"/>
      <c r="C126" s="66"/>
      <c r="D126" t="s">
        <v>153</v>
      </c>
      <c r="E126" t="s">
        <v>154</v>
      </c>
      <c r="F126" t="s">
        <v>155</v>
      </c>
      <c r="G126" t="s">
        <v>156</v>
      </c>
      <c r="H126" s="44">
        <v>17.702999999999999</v>
      </c>
      <c r="I126" s="44">
        <v>5.7549999999999999</v>
      </c>
      <c r="J126" s="44">
        <v>5.63</v>
      </c>
      <c r="K126" s="44">
        <v>6.3940000000000001</v>
      </c>
      <c r="L126" s="44">
        <v>5.891</v>
      </c>
      <c r="M126" s="44">
        <v>6.19</v>
      </c>
      <c r="N126" s="44">
        <v>5.3479999999999999</v>
      </c>
      <c r="O126" s="44">
        <v>5.681</v>
      </c>
      <c r="P126" s="44">
        <v>5.6130000000000004</v>
      </c>
      <c r="Q126" s="44">
        <v>6.117</v>
      </c>
      <c r="R126" s="51">
        <v>70.322000000000003</v>
      </c>
      <c r="S126" s="14">
        <v>0</v>
      </c>
      <c r="T126" s="45">
        <v>70.322000000000003</v>
      </c>
    </row>
    <row r="127" spans="1:20" s="14" customFormat="1" ht="14.45" customHeight="1">
      <c r="A127" s="66"/>
      <c r="B127" s="66"/>
      <c r="C127" s="66"/>
      <c r="D127" t="s">
        <v>50</v>
      </c>
      <c r="E127" t="s">
        <v>139</v>
      </c>
      <c r="F127" t="s">
        <v>49</v>
      </c>
      <c r="G127" t="s">
        <v>148</v>
      </c>
      <c r="H127" s="44">
        <v>9.327</v>
      </c>
      <c r="I127" s="44">
        <v>6.62</v>
      </c>
      <c r="J127" s="44">
        <v>6.5810000000000004</v>
      </c>
      <c r="K127" s="44">
        <v>6.1580000000000004</v>
      </c>
      <c r="L127" s="44">
        <v>6.0149999999999997</v>
      </c>
      <c r="M127" s="44">
        <v>5.9329999999999998</v>
      </c>
      <c r="N127" s="44">
        <v>5.5049999999999999</v>
      </c>
      <c r="O127" s="44">
        <v>5.9189999999999996</v>
      </c>
      <c r="P127" s="44">
        <v>5.7290000000000001</v>
      </c>
      <c r="Q127" s="44">
        <v>5.468</v>
      </c>
      <c r="R127" s="51">
        <v>63.255000000000003</v>
      </c>
      <c r="S127" s="14">
        <v>0</v>
      </c>
      <c r="T127" s="45">
        <v>63.255000000000003</v>
      </c>
    </row>
    <row r="128" spans="1:20" s="14" customFormat="1" ht="14.45" customHeight="1">
      <c r="A128" s="66" t="s">
        <v>7</v>
      </c>
      <c r="B128" s="66">
        <v>3</v>
      </c>
      <c r="C128" s="66">
        <v>8</v>
      </c>
      <c r="D128" t="s">
        <v>60</v>
      </c>
      <c r="E128" t="s">
        <v>146</v>
      </c>
      <c r="F128" t="s">
        <v>69</v>
      </c>
      <c r="G128" t="s">
        <v>70</v>
      </c>
      <c r="H128" s="44">
        <v>8.7240000000000002</v>
      </c>
      <c r="I128" s="44">
        <v>5.4880000000000004</v>
      </c>
      <c r="J128" s="44">
        <v>5.915</v>
      </c>
      <c r="K128" s="44">
        <v>5.774</v>
      </c>
      <c r="L128" s="44">
        <v>6.0030000000000001</v>
      </c>
      <c r="M128" s="44">
        <v>5.6189999999999998</v>
      </c>
      <c r="N128" s="44">
        <v>5.2469999999999999</v>
      </c>
      <c r="O128" s="44">
        <v>5.3390000000000004</v>
      </c>
      <c r="P128" s="44">
        <v>5.4610000000000003</v>
      </c>
      <c r="Q128" s="44">
        <v>6.093</v>
      </c>
      <c r="R128" s="51">
        <v>59.662999999999997</v>
      </c>
      <c r="S128" s="14">
        <v>0</v>
      </c>
      <c r="T128" s="45">
        <v>59.662999999999997</v>
      </c>
    </row>
    <row r="129" spans="1:20" s="14" customFormat="1" ht="14.45" customHeight="1">
      <c r="A129" s="66"/>
      <c r="B129" s="66"/>
      <c r="C129" s="66"/>
      <c r="D129" t="s">
        <v>53</v>
      </c>
      <c r="E129" t="s">
        <v>54</v>
      </c>
      <c r="F129" t="s">
        <v>130</v>
      </c>
      <c r="G129" t="s">
        <v>131</v>
      </c>
      <c r="H129" s="44">
        <v>8.5030000000000001</v>
      </c>
      <c r="I129" s="44">
        <v>5.7590000000000003</v>
      </c>
      <c r="J129" s="44">
        <v>5.5759999999999996</v>
      </c>
      <c r="K129" s="44">
        <v>5.57</v>
      </c>
      <c r="L129" s="44">
        <v>5.26</v>
      </c>
      <c r="M129" s="44">
        <v>5.5549999999999997</v>
      </c>
      <c r="N129" s="44">
        <v>5.33</v>
      </c>
      <c r="O129" s="44">
        <v>5.1840000000000002</v>
      </c>
      <c r="P129" s="44">
        <v>5.3769999999999998</v>
      </c>
      <c r="Q129" s="44">
        <v>5.7039999999999997</v>
      </c>
      <c r="R129" s="51">
        <v>57.817999999999998</v>
      </c>
      <c r="S129" s="14">
        <v>0</v>
      </c>
      <c r="T129" s="45">
        <v>57.817999999999998</v>
      </c>
    </row>
    <row r="130" spans="1:20" s="14" customFormat="1" ht="14.45" customHeight="1">
      <c r="A130" s="66"/>
      <c r="B130" s="66"/>
      <c r="C130" s="66"/>
      <c r="D130" t="s">
        <v>43</v>
      </c>
      <c r="E130" t="s">
        <v>46</v>
      </c>
      <c r="F130" t="s">
        <v>145</v>
      </c>
      <c r="G130" t="s">
        <v>46</v>
      </c>
      <c r="H130" s="44">
        <v>9.4269999999999996</v>
      </c>
      <c r="I130" s="44">
        <v>6.431</v>
      </c>
      <c r="J130" s="44">
        <v>6.2690000000000001</v>
      </c>
      <c r="K130" s="44">
        <v>6.1710000000000003</v>
      </c>
      <c r="L130" s="44">
        <v>5.8230000000000004</v>
      </c>
      <c r="M130" s="44">
        <v>5.9710000000000001</v>
      </c>
      <c r="N130" s="44">
        <v>6.1769999999999996</v>
      </c>
      <c r="O130" s="44">
        <v>6.1369999999999996</v>
      </c>
      <c r="P130" s="44">
        <v>6.6740000000000004</v>
      </c>
      <c r="Q130" s="44">
        <v>6.1890000000000001</v>
      </c>
      <c r="R130" s="51">
        <v>65.269000000000005</v>
      </c>
      <c r="S130" s="14">
        <v>0</v>
      </c>
      <c r="T130" s="45">
        <v>65.269000000000005</v>
      </c>
    </row>
    <row r="131" spans="1:20" s="14" customFormat="1" ht="14.45" customHeight="1">
      <c r="A131" s="66" t="s">
        <v>7</v>
      </c>
      <c r="B131" s="66">
        <v>3</v>
      </c>
      <c r="C131" s="66">
        <v>9</v>
      </c>
      <c r="D131" t="s">
        <v>61</v>
      </c>
      <c r="E131" t="s">
        <v>158</v>
      </c>
      <c r="F131" t="s">
        <v>140</v>
      </c>
      <c r="G131" t="s">
        <v>141</v>
      </c>
      <c r="H131" s="44">
        <v>10.83</v>
      </c>
      <c r="I131" s="44">
        <v>6.0519999999999996</v>
      </c>
      <c r="J131" s="44">
        <v>5.3949999999999996</v>
      </c>
      <c r="K131" s="44">
        <v>5.4059999999999997</v>
      </c>
      <c r="L131" s="44">
        <v>5.3010000000000002</v>
      </c>
      <c r="M131" s="44">
        <v>5.79</v>
      </c>
      <c r="N131" s="44">
        <v>5.5609999999999999</v>
      </c>
      <c r="O131" s="44">
        <v>5.452</v>
      </c>
      <c r="P131" s="44">
        <v>5.8940000000000001</v>
      </c>
      <c r="Q131" s="44">
        <v>5.6189999999999998</v>
      </c>
      <c r="R131" s="51">
        <v>61.3</v>
      </c>
      <c r="S131" s="14">
        <v>0</v>
      </c>
      <c r="T131" s="45">
        <v>61.3</v>
      </c>
    </row>
    <row r="132" spans="1:20" s="14" customFormat="1" ht="14.45" customHeight="1">
      <c r="A132" s="66"/>
      <c r="B132" s="66"/>
      <c r="C132" s="66"/>
      <c r="D132" t="s">
        <v>142</v>
      </c>
      <c r="E132" t="s">
        <v>63</v>
      </c>
      <c r="F132" t="s">
        <v>62</v>
      </c>
      <c r="G132" t="s">
        <v>63</v>
      </c>
      <c r="H132" s="44">
        <v>9.8369999999999997</v>
      </c>
      <c r="I132" s="44">
        <v>6.8220000000000001</v>
      </c>
      <c r="J132" s="44">
        <v>5.89</v>
      </c>
      <c r="K132" s="44">
        <v>6.0890000000000004</v>
      </c>
      <c r="L132" s="44">
        <v>6.4409999999999998</v>
      </c>
      <c r="M132" s="44">
        <v>6.17</v>
      </c>
      <c r="N132" s="44">
        <v>6.4429999999999996</v>
      </c>
      <c r="O132" s="44" t="s">
        <v>285</v>
      </c>
      <c r="P132" s="44">
        <v>6.4950000000000001</v>
      </c>
      <c r="Q132" s="44">
        <v>6.2309999999999999</v>
      </c>
      <c r="R132" s="51">
        <v>67.006</v>
      </c>
      <c r="S132" s="14">
        <v>1</v>
      </c>
      <c r="T132" s="45">
        <v>73.706600000000009</v>
      </c>
    </row>
    <row r="133" spans="1:20" s="14" customFormat="1" ht="14.45" customHeight="1">
      <c r="A133" s="66"/>
      <c r="B133" s="66"/>
      <c r="C133" s="66"/>
      <c r="D133" t="s">
        <v>140</v>
      </c>
      <c r="E133" t="s">
        <v>151</v>
      </c>
      <c r="F133" t="s">
        <v>72</v>
      </c>
      <c r="G133" t="s">
        <v>152</v>
      </c>
      <c r="H133" s="44">
        <v>8.7379999999999995</v>
      </c>
      <c r="I133" s="44">
        <v>6.5309999999999997</v>
      </c>
      <c r="J133" s="44">
        <v>5.4039999999999999</v>
      </c>
      <c r="K133" s="44" t="s">
        <v>284</v>
      </c>
      <c r="L133" s="44">
        <v>5.8490000000000002</v>
      </c>
      <c r="M133" s="44">
        <v>5.9770000000000003</v>
      </c>
      <c r="N133" s="44">
        <v>6.327</v>
      </c>
      <c r="O133" s="44">
        <v>5.9480000000000004</v>
      </c>
      <c r="P133" s="44">
        <v>6.4969999999999999</v>
      </c>
      <c r="Q133" s="44">
        <v>6.3319999999999999</v>
      </c>
      <c r="R133" s="51">
        <v>63.576999999999998</v>
      </c>
      <c r="S133" s="14">
        <v>1</v>
      </c>
      <c r="T133" s="45">
        <v>69.934700000000007</v>
      </c>
    </row>
    <row r="134" spans="1:20" s="14" customFormat="1" ht="14.45" customHeight="1">
      <c r="A134" s="66" t="s">
        <v>7</v>
      </c>
      <c r="B134" s="66">
        <v>3</v>
      </c>
      <c r="C134" s="66">
        <v>10</v>
      </c>
      <c r="D134" t="s">
        <v>64</v>
      </c>
      <c r="E134" t="s">
        <v>65</v>
      </c>
      <c r="F134" t="s">
        <v>143</v>
      </c>
      <c r="G134" t="s">
        <v>144</v>
      </c>
      <c r="H134" s="44">
        <v>9.6359999999999992</v>
      </c>
      <c r="I134" s="44">
        <v>6.125</v>
      </c>
      <c r="J134" s="44">
        <v>6.3879999999999999</v>
      </c>
      <c r="K134" s="44">
        <v>8.7170000000000005</v>
      </c>
      <c r="L134" s="44">
        <v>6.5949999999999998</v>
      </c>
      <c r="M134" s="44">
        <v>6.391</v>
      </c>
      <c r="N134" s="44">
        <v>6.2629999999999999</v>
      </c>
      <c r="O134" s="44">
        <v>5.9969999999999999</v>
      </c>
      <c r="P134" s="44">
        <v>5.9569999999999999</v>
      </c>
      <c r="Q134" s="44">
        <v>6.0860000000000003</v>
      </c>
      <c r="R134" s="51">
        <v>68.155000000000001</v>
      </c>
      <c r="S134" s="14">
        <v>0</v>
      </c>
      <c r="T134" s="45">
        <v>68.155000000000001</v>
      </c>
    </row>
    <row r="135" spans="1:20" s="14" customFormat="1" ht="14.45" customHeight="1">
      <c r="A135" s="66"/>
      <c r="B135" s="66"/>
      <c r="C135" s="66"/>
      <c r="D135" t="s">
        <v>56</v>
      </c>
      <c r="E135" t="s">
        <v>57</v>
      </c>
      <c r="F135" t="s">
        <v>52</v>
      </c>
      <c r="G135" t="s">
        <v>125</v>
      </c>
      <c r="H135" s="44">
        <v>9.4079999999999995</v>
      </c>
      <c r="I135" s="44">
        <v>6.6159999999999997</v>
      </c>
      <c r="J135" s="44">
        <v>6.3879999999999999</v>
      </c>
      <c r="K135" s="44">
        <v>6.2969999999999997</v>
      </c>
      <c r="L135" s="44" t="s">
        <v>281</v>
      </c>
      <c r="M135" s="44">
        <v>6.1970000000000001</v>
      </c>
      <c r="N135" s="44">
        <v>5.8630000000000004</v>
      </c>
      <c r="O135" s="44">
        <v>6.5110000000000001</v>
      </c>
      <c r="P135" s="44">
        <v>6.383</v>
      </c>
      <c r="Q135" s="44">
        <v>5.98</v>
      </c>
      <c r="R135" s="51">
        <v>66.012</v>
      </c>
      <c r="S135" s="14">
        <v>1</v>
      </c>
      <c r="T135" s="45">
        <v>72.613200000000006</v>
      </c>
    </row>
    <row r="136" spans="1:20" s="14" customFormat="1" ht="14.45" customHeight="1">
      <c r="A136" s="66"/>
      <c r="B136" s="66"/>
      <c r="C136" s="66"/>
      <c r="D136" t="s">
        <v>121</v>
      </c>
      <c r="E136" t="s">
        <v>120</v>
      </c>
      <c r="F136" t="s">
        <v>119</v>
      </c>
      <c r="G136" t="s">
        <v>120</v>
      </c>
      <c r="H136" s="44">
        <v>9.4909999999999997</v>
      </c>
      <c r="I136" s="44">
        <v>6.8010000000000002</v>
      </c>
      <c r="J136" s="44">
        <v>6.444</v>
      </c>
      <c r="K136" s="44">
        <v>6.6349999999999998</v>
      </c>
      <c r="L136" s="44">
        <v>6.5069999999999997</v>
      </c>
      <c r="M136" s="44">
        <v>6.1619999999999999</v>
      </c>
      <c r="N136" s="44">
        <v>6.399</v>
      </c>
      <c r="O136" s="44">
        <v>6.4409999999999998</v>
      </c>
      <c r="P136" s="44">
        <v>6.29</v>
      </c>
      <c r="Q136" s="44">
        <v>6.3049999999999997</v>
      </c>
      <c r="R136" s="51">
        <v>67.474999999999994</v>
      </c>
      <c r="S136" s="14">
        <v>0</v>
      </c>
      <c r="T136" s="45">
        <v>67.474999999999994</v>
      </c>
    </row>
    <row r="137" spans="1:20" s="14" customFormat="1" ht="14.45" customHeight="1">
      <c r="A137" s="66" t="s">
        <v>7</v>
      </c>
      <c r="B137" s="66">
        <v>3</v>
      </c>
      <c r="C137" s="66">
        <v>11</v>
      </c>
      <c r="D137" t="s">
        <v>157</v>
      </c>
      <c r="E137" t="s">
        <v>184</v>
      </c>
      <c r="F137" t="s">
        <v>155</v>
      </c>
      <c r="G137" t="s">
        <v>156</v>
      </c>
      <c r="H137" s="44">
        <v>9.1590000000000007</v>
      </c>
      <c r="I137" s="44">
        <v>6.95</v>
      </c>
      <c r="J137" s="44">
        <v>6.109</v>
      </c>
      <c r="K137" s="44">
        <v>6.4189999999999996</v>
      </c>
      <c r="L137" s="44">
        <v>6.2560000000000002</v>
      </c>
      <c r="M137" s="44" t="s">
        <v>282</v>
      </c>
      <c r="N137" s="44">
        <v>6.0289999999999999</v>
      </c>
      <c r="O137" s="44">
        <v>5.9429999999999996</v>
      </c>
      <c r="P137" s="44">
        <v>5.9509999999999996</v>
      </c>
      <c r="Q137" s="44">
        <v>6.6820000000000004</v>
      </c>
      <c r="R137" s="51">
        <v>65.796000000000006</v>
      </c>
      <c r="S137" s="14">
        <v>1</v>
      </c>
      <c r="T137" s="45">
        <v>72.37560000000002</v>
      </c>
    </row>
    <row r="138" spans="1:20" s="14" customFormat="1" ht="14.45" customHeight="1">
      <c r="A138" s="66"/>
      <c r="B138" s="66"/>
      <c r="C138" s="66"/>
      <c r="D138" t="s">
        <v>132</v>
      </c>
      <c r="E138" t="s">
        <v>133</v>
      </c>
      <c r="F138" t="s">
        <v>160</v>
      </c>
      <c r="G138" t="s">
        <v>159</v>
      </c>
      <c r="H138" s="44" t="s">
        <v>185</v>
      </c>
      <c r="I138" s="44" t="s">
        <v>185</v>
      </c>
      <c r="J138" s="44" t="s">
        <v>185</v>
      </c>
      <c r="K138" s="44" t="s">
        <v>185</v>
      </c>
      <c r="L138" s="44" t="s">
        <v>185</v>
      </c>
      <c r="M138" s="44" t="s">
        <v>185</v>
      </c>
      <c r="N138" s="44" t="s">
        <v>185</v>
      </c>
      <c r="O138" s="44" t="s">
        <v>185</v>
      </c>
      <c r="P138" s="44" t="s">
        <v>185</v>
      </c>
      <c r="Q138" s="44" t="s">
        <v>185</v>
      </c>
      <c r="R138" s="51" t="s">
        <v>185</v>
      </c>
      <c r="S138" s="14">
        <v>0</v>
      </c>
      <c r="T138" s="45">
        <v>200</v>
      </c>
    </row>
    <row r="139" spans="1:20" s="14" customFormat="1" ht="14.45" customHeight="1">
      <c r="A139" s="66"/>
      <c r="B139" s="66"/>
      <c r="C139" s="66"/>
      <c r="D139" t="s">
        <v>134</v>
      </c>
      <c r="E139" t="s">
        <v>138</v>
      </c>
      <c r="F139" t="s">
        <v>134</v>
      </c>
      <c r="G139" t="s">
        <v>135</v>
      </c>
      <c r="H139" s="44">
        <v>9.4550000000000001</v>
      </c>
      <c r="I139" s="44">
        <v>7.4720000000000004</v>
      </c>
      <c r="J139" s="44">
        <v>6.8940000000000001</v>
      </c>
      <c r="K139" s="44">
        <v>6.8840000000000003</v>
      </c>
      <c r="L139" s="44">
        <v>6.6749999999999998</v>
      </c>
      <c r="M139" s="44">
        <v>6.702</v>
      </c>
      <c r="N139" s="44">
        <v>6.8150000000000004</v>
      </c>
      <c r="O139" s="44">
        <v>7.5229999999999997</v>
      </c>
      <c r="P139" s="44">
        <v>6.6539999999999999</v>
      </c>
      <c r="Q139" s="44">
        <v>6.7809999999999997</v>
      </c>
      <c r="R139" s="51">
        <v>71.855000000000004</v>
      </c>
      <c r="S139" s="14">
        <v>0</v>
      </c>
      <c r="T139" s="45">
        <v>71.855000000000004</v>
      </c>
    </row>
    <row r="140" spans="1:20" s="14" customFormat="1" ht="14.45" customHeight="1">
      <c r="A140" s="66" t="s">
        <v>31</v>
      </c>
      <c r="B140" s="66">
        <v>3</v>
      </c>
      <c r="C140" s="66">
        <v>1</v>
      </c>
      <c r="D140" t="s">
        <v>121</v>
      </c>
      <c r="E140" t="s">
        <v>120</v>
      </c>
      <c r="F140" t="s">
        <v>119</v>
      </c>
      <c r="G140" t="s">
        <v>120</v>
      </c>
      <c r="H140" s="44">
        <v>10.712999999999999</v>
      </c>
      <c r="I140" s="44">
        <v>6.6639999999999997</v>
      </c>
      <c r="J140" s="44">
        <v>6.24</v>
      </c>
      <c r="K140" s="44" t="s">
        <v>185</v>
      </c>
      <c r="L140" s="44" t="s">
        <v>185</v>
      </c>
      <c r="M140" s="44" t="s">
        <v>185</v>
      </c>
      <c r="N140" s="44" t="s">
        <v>185</v>
      </c>
      <c r="O140" s="44" t="s">
        <v>185</v>
      </c>
      <c r="P140" s="44" t="s">
        <v>185</v>
      </c>
      <c r="Q140" s="44" t="s">
        <v>185</v>
      </c>
      <c r="R140" s="51" t="s">
        <v>185</v>
      </c>
      <c r="S140" s="14">
        <v>0</v>
      </c>
      <c r="T140" s="45">
        <v>200</v>
      </c>
    </row>
    <row r="141" spans="1:20" s="14" customFormat="1" ht="14.45" customHeight="1">
      <c r="A141" s="66"/>
      <c r="B141" s="66"/>
      <c r="C141" s="66"/>
      <c r="D141" t="s">
        <v>40</v>
      </c>
      <c r="E141" t="s">
        <v>40</v>
      </c>
      <c r="F141" t="s">
        <v>41</v>
      </c>
      <c r="G141" t="s">
        <v>41</v>
      </c>
      <c r="H141" s="44" t="s">
        <v>185</v>
      </c>
      <c r="I141" s="44" t="s">
        <v>185</v>
      </c>
      <c r="J141" s="14" t="s">
        <v>185</v>
      </c>
      <c r="K141" s="14" t="s">
        <v>185</v>
      </c>
      <c r="L141" s="14" t="s">
        <v>185</v>
      </c>
      <c r="M141" s="14" t="s">
        <v>185</v>
      </c>
      <c r="N141" s="44" t="s">
        <v>185</v>
      </c>
      <c r="O141" s="44" t="s">
        <v>185</v>
      </c>
      <c r="P141" s="44" t="s">
        <v>185</v>
      </c>
      <c r="Q141" s="44" t="s">
        <v>185</v>
      </c>
      <c r="R141" s="51" t="s">
        <v>185</v>
      </c>
      <c r="S141" s="14">
        <v>0</v>
      </c>
      <c r="T141" s="45">
        <v>200</v>
      </c>
    </row>
    <row r="142" spans="1:20" s="14" customFormat="1" ht="14.45" customHeight="1">
      <c r="A142" s="66"/>
      <c r="B142" s="66"/>
      <c r="C142" s="66"/>
      <c r="D142" t="s">
        <v>140</v>
      </c>
      <c r="E142" t="s">
        <v>141</v>
      </c>
      <c r="F142" t="s">
        <v>61</v>
      </c>
      <c r="G142" t="s">
        <v>158</v>
      </c>
      <c r="H142" s="44" t="s">
        <v>185</v>
      </c>
      <c r="I142" s="44" t="s">
        <v>185</v>
      </c>
      <c r="J142" s="44" t="s">
        <v>185</v>
      </c>
      <c r="K142" s="44" t="s">
        <v>185</v>
      </c>
      <c r="L142" s="44" t="s">
        <v>185</v>
      </c>
      <c r="M142" s="44" t="s">
        <v>185</v>
      </c>
      <c r="N142" s="44" t="s">
        <v>185</v>
      </c>
      <c r="O142" s="44" t="s">
        <v>185</v>
      </c>
      <c r="P142" s="44" t="s">
        <v>185</v>
      </c>
      <c r="Q142" s="44" t="s">
        <v>185</v>
      </c>
      <c r="R142" s="51" t="s">
        <v>185</v>
      </c>
      <c r="S142" s="14">
        <v>0</v>
      </c>
      <c r="T142" s="45">
        <v>200</v>
      </c>
    </row>
    <row r="143" spans="1:20" s="14" customFormat="1" ht="14.45" customHeight="1">
      <c r="A143" s="66" t="s">
        <v>31</v>
      </c>
      <c r="B143" s="66">
        <v>3</v>
      </c>
      <c r="C143" s="66">
        <v>2</v>
      </c>
      <c r="D143" t="s">
        <v>160</v>
      </c>
      <c r="E143" t="s">
        <v>159</v>
      </c>
      <c r="F143" t="s">
        <v>51</v>
      </c>
      <c r="G143" t="s">
        <v>183</v>
      </c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51"/>
      <c r="S143" s="14">
        <v>0</v>
      </c>
      <c r="T143" s="45">
        <v>200</v>
      </c>
    </row>
    <row r="144" spans="1:20" s="14" customFormat="1" ht="14.45" customHeight="1">
      <c r="A144" s="66"/>
      <c r="B144" s="66"/>
      <c r="C144" s="66"/>
      <c r="D144" t="s">
        <v>59</v>
      </c>
      <c r="E144" t="s">
        <v>120</v>
      </c>
      <c r="F144" t="s">
        <v>119</v>
      </c>
      <c r="G144" t="s">
        <v>120</v>
      </c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51"/>
      <c r="S144" s="14">
        <v>0</v>
      </c>
      <c r="T144" s="45">
        <v>63.048000000000002</v>
      </c>
    </row>
    <row r="145" spans="1:20" s="14" customFormat="1" ht="14.45" customHeight="1">
      <c r="A145" s="66"/>
      <c r="B145" s="66"/>
      <c r="C145" s="66"/>
      <c r="D145" t="s">
        <v>69</v>
      </c>
      <c r="E145" t="s">
        <v>70</v>
      </c>
      <c r="F145" t="s">
        <v>64</v>
      </c>
      <c r="G145" t="s">
        <v>164</v>
      </c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51"/>
      <c r="S145" s="14">
        <v>0</v>
      </c>
      <c r="T145" s="45">
        <v>59.054000000000002</v>
      </c>
    </row>
    <row r="146" spans="1:20" s="14" customFormat="1" ht="14.45" customHeight="1">
      <c r="A146" s="66" t="s">
        <v>31</v>
      </c>
      <c r="B146" s="66">
        <v>3</v>
      </c>
      <c r="C146" s="66">
        <v>3</v>
      </c>
      <c r="D146" t="s">
        <v>50</v>
      </c>
      <c r="E146" t="s">
        <v>139</v>
      </c>
      <c r="F146" t="s">
        <v>49</v>
      </c>
      <c r="G146" t="s">
        <v>148</v>
      </c>
      <c r="H146" s="44">
        <v>10.678000000000001</v>
      </c>
      <c r="I146" s="44">
        <v>6.2569999999999997</v>
      </c>
      <c r="J146" s="44" t="s">
        <v>283</v>
      </c>
      <c r="K146" s="44">
        <v>7.7569999999999997</v>
      </c>
      <c r="L146" s="44">
        <v>6.3289999999999997</v>
      </c>
      <c r="M146" s="44">
        <v>5.9589999999999996</v>
      </c>
      <c r="N146" s="44">
        <v>6.3319999999999999</v>
      </c>
      <c r="O146" s="44">
        <v>5.5869999999999997</v>
      </c>
      <c r="P146" s="44">
        <v>5.7279999999999998</v>
      </c>
      <c r="Q146" s="44">
        <v>6.1260000000000003</v>
      </c>
      <c r="R146" s="51">
        <v>68.206999999999994</v>
      </c>
      <c r="S146" s="14">
        <v>1</v>
      </c>
      <c r="T146" s="45">
        <v>75.027699999999996</v>
      </c>
    </row>
    <row r="147" spans="1:20" s="14" customFormat="1" ht="14.45" customHeight="1">
      <c r="A147" s="66"/>
      <c r="B147" s="66"/>
      <c r="C147" s="66"/>
      <c r="D147" t="s">
        <v>72</v>
      </c>
      <c r="E147" t="s">
        <v>152</v>
      </c>
      <c r="F147" t="s">
        <v>165</v>
      </c>
      <c r="G147" t="s">
        <v>152</v>
      </c>
      <c r="H147" s="44">
        <v>8.9809999999999999</v>
      </c>
      <c r="I147" s="44">
        <v>6.0949999999999998</v>
      </c>
      <c r="J147" s="44">
        <v>5.867</v>
      </c>
      <c r="K147" s="44">
        <v>5.9340000000000002</v>
      </c>
      <c r="L147" s="44">
        <v>5.7859999999999996</v>
      </c>
      <c r="M147" s="44">
        <v>5.6440000000000001</v>
      </c>
      <c r="N147" s="44">
        <v>5.8520000000000003</v>
      </c>
      <c r="O147" s="44">
        <v>6.1870000000000003</v>
      </c>
      <c r="P147" s="44">
        <v>5.8209999999999997</v>
      </c>
      <c r="Q147" s="44">
        <v>5.6459999999999999</v>
      </c>
      <c r="R147" s="51">
        <v>61.813000000000002</v>
      </c>
      <c r="S147" s="14">
        <v>0</v>
      </c>
      <c r="T147" s="45">
        <v>61.813000000000002</v>
      </c>
    </row>
    <row r="148" spans="1:20" s="14" customFormat="1" ht="14.45" customHeight="1">
      <c r="A148" s="66"/>
      <c r="B148" s="66"/>
      <c r="C148" s="66"/>
      <c r="D148" t="s">
        <v>52</v>
      </c>
      <c r="E148" t="s">
        <v>125</v>
      </c>
      <c r="F148" t="s">
        <v>56</v>
      </c>
      <c r="G148" t="s">
        <v>57</v>
      </c>
      <c r="H148" s="44">
        <v>12.532999999999999</v>
      </c>
      <c r="I148" s="44">
        <v>8.7010000000000005</v>
      </c>
      <c r="J148" s="44">
        <v>10.561</v>
      </c>
      <c r="K148" s="44">
        <v>7.2869999999999999</v>
      </c>
      <c r="L148" s="44">
        <v>7.9210000000000003</v>
      </c>
      <c r="M148" s="44">
        <v>8.4909999999999997</v>
      </c>
      <c r="N148" s="44">
        <v>7.8310000000000004</v>
      </c>
      <c r="O148" s="44">
        <v>8.0890000000000004</v>
      </c>
      <c r="P148" s="44">
        <v>7.8490000000000002</v>
      </c>
      <c r="Q148" s="44">
        <v>8.3919999999999995</v>
      </c>
      <c r="R148" s="51">
        <v>87.655000000000001</v>
      </c>
      <c r="S148" s="14">
        <v>0</v>
      </c>
      <c r="T148" s="45">
        <v>87.655000000000001</v>
      </c>
    </row>
    <row r="149" spans="1:20" s="14" customFormat="1" ht="14.45" customHeight="1">
      <c r="A149" s="66" t="s">
        <v>31</v>
      </c>
      <c r="B149" s="66">
        <v>3</v>
      </c>
      <c r="C149" s="66">
        <v>4</v>
      </c>
      <c r="D149" t="s">
        <v>73</v>
      </c>
      <c r="E149" t="s">
        <v>161</v>
      </c>
      <c r="F149" t="s">
        <v>139</v>
      </c>
      <c r="G149" t="s">
        <v>50</v>
      </c>
      <c r="H149" s="44" t="s">
        <v>185</v>
      </c>
      <c r="I149" s="44" t="s">
        <v>185</v>
      </c>
      <c r="J149" s="44" t="s">
        <v>185</v>
      </c>
      <c r="K149" s="44" t="s">
        <v>185</v>
      </c>
      <c r="L149" s="44" t="s">
        <v>185</v>
      </c>
      <c r="M149" s="44" t="s">
        <v>185</v>
      </c>
      <c r="N149" s="44" t="s">
        <v>185</v>
      </c>
      <c r="O149" s="44" t="s">
        <v>185</v>
      </c>
      <c r="P149" s="44" t="s">
        <v>185</v>
      </c>
      <c r="Q149" s="44" t="s">
        <v>185</v>
      </c>
      <c r="R149" s="51" t="s">
        <v>185</v>
      </c>
      <c r="S149" s="14">
        <v>0</v>
      </c>
      <c r="T149" s="45">
        <v>200</v>
      </c>
    </row>
    <row r="150" spans="1:20" s="14" customFormat="1" ht="14.45" customHeight="1">
      <c r="A150" s="66"/>
      <c r="B150" s="66"/>
      <c r="C150" s="66"/>
      <c r="D150" t="s">
        <v>71</v>
      </c>
      <c r="E150" t="s">
        <v>162</v>
      </c>
      <c r="F150" t="s">
        <v>163</v>
      </c>
      <c r="G150" t="s">
        <v>69</v>
      </c>
      <c r="H150" s="44">
        <v>9.5760000000000005</v>
      </c>
      <c r="I150" s="44">
        <v>5.8540000000000001</v>
      </c>
      <c r="J150" s="44">
        <v>5.5720000000000001</v>
      </c>
      <c r="K150" s="44">
        <v>5.6369999999999996</v>
      </c>
      <c r="L150" s="44">
        <v>5.984</v>
      </c>
      <c r="M150" s="44">
        <v>6.1070000000000002</v>
      </c>
      <c r="N150" s="44">
        <v>5.819</v>
      </c>
      <c r="O150" s="44">
        <v>5.8369999999999997</v>
      </c>
      <c r="P150" s="44">
        <v>6.0629999999999997</v>
      </c>
      <c r="Q150" s="44">
        <v>6.12</v>
      </c>
      <c r="R150" s="51">
        <v>62.569000000000003</v>
      </c>
      <c r="S150" s="14">
        <v>0</v>
      </c>
      <c r="T150" s="45">
        <v>62.569000000000003</v>
      </c>
    </row>
    <row r="151" spans="1:20" s="14" customFormat="1" ht="14.45" customHeight="1">
      <c r="A151" s="66"/>
      <c r="B151" s="66"/>
      <c r="C151" s="66"/>
      <c r="D151" t="s">
        <v>61</v>
      </c>
      <c r="E151" t="s">
        <v>158</v>
      </c>
      <c r="F151" t="s">
        <v>140</v>
      </c>
      <c r="G151" t="s">
        <v>141</v>
      </c>
      <c r="H151" s="44">
        <v>11.311</v>
      </c>
      <c r="I151" s="44">
        <v>6.4329999999999998</v>
      </c>
      <c r="J151" s="44">
        <v>6.1210000000000004</v>
      </c>
      <c r="K151" s="44">
        <v>6.4989999999999997</v>
      </c>
      <c r="L151" s="44">
        <v>7.0380000000000003</v>
      </c>
      <c r="M151" s="44">
        <v>6.3680000000000003</v>
      </c>
      <c r="N151" s="44">
        <v>6.2679999999999998</v>
      </c>
      <c r="O151" s="44">
        <v>6.5339999999999998</v>
      </c>
      <c r="P151" s="44">
        <v>6.5259999999999998</v>
      </c>
      <c r="Q151" s="44">
        <v>6.984</v>
      </c>
      <c r="R151" s="51">
        <v>70.081999999999994</v>
      </c>
      <c r="S151" s="14">
        <v>0</v>
      </c>
      <c r="T151" s="45">
        <v>70.081999999999994</v>
      </c>
    </row>
    <row r="152" spans="1:20" s="14" customFormat="1" ht="14.45" customHeight="1">
      <c r="A152" s="66" t="s">
        <v>6</v>
      </c>
      <c r="B152" s="66">
        <v>4</v>
      </c>
      <c r="C152" s="66">
        <v>1</v>
      </c>
      <c r="D152" t="s">
        <v>116</v>
      </c>
      <c r="E152" t="s">
        <v>117</v>
      </c>
      <c r="F152" t="s">
        <v>118</v>
      </c>
      <c r="G152" t="s">
        <v>122</v>
      </c>
      <c r="H152" s="44" t="s">
        <v>185</v>
      </c>
      <c r="I152" s="44" t="s">
        <v>185</v>
      </c>
      <c r="J152" s="44" t="s">
        <v>185</v>
      </c>
      <c r="K152" s="44" t="s">
        <v>185</v>
      </c>
      <c r="L152" s="44" t="s">
        <v>185</v>
      </c>
      <c r="M152" s="44" t="s">
        <v>185</v>
      </c>
      <c r="N152" s="44" t="s">
        <v>185</v>
      </c>
      <c r="O152" s="44" t="s">
        <v>185</v>
      </c>
      <c r="P152" s="44" t="s">
        <v>185</v>
      </c>
      <c r="Q152" s="44" t="s">
        <v>185</v>
      </c>
      <c r="R152" s="51" t="s">
        <v>185</v>
      </c>
      <c r="S152" s="14">
        <v>0</v>
      </c>
      <c r="T152" s="45">
        <v>200</v>
      </c>
    </row>
    <row r="153" spans="1:20" s="14" customFormat="1" ht="14.45" customHeight="1">
      <c r="A153" s="66"/>
      <c r="B153" s="66"/>
      <c r="C153" s="66"/>
      <c r="D153" t="s">
        <v>119</v>
      </c>
      <c r="E153" t="s">
        <v>120</v>
      </c>
      <c r="F153" t="s">
        <v>121</v>
      </c>
      <c r="G153" t="s">
        <v>120</v>
      </c>
      <c r="H153" s="44">
        <v>15.478</v>
      </c>
      <c r="I153" s="44">
        <v>12.494999999999999</v>
      </c>
      <c r="J153" s="44">
        <v>13.401</v>
      </c>
      <c r="K153" s="44">
        <v>11.935</v>
      </c>
      <c r="L153" s="44">
        <v>12.109</v>
      </c>
      <c r="M153" s="44">
        <v>12.121</v>
      </c>
      <c r="N153" s="44">
        <v>12.413</v>
      </c>
      <c r="O153" s="44">
        <v>12.757999999999999</v>
      </c>
      <c r="P153" s="44">
        <v>13.996</v>
      </c>
      <c r="Q153" s="44">
        <v>12.193</v>
      </c>
      <c r="R153" s="51">
        <v>128.899</v>
      </c>
      <c r="S153" s="14">
        <v>0</v>
      </c>
      <c r="T153" s="45">
        <v>128.899</v>
      </c>
    </row>
    <row r="154" spans="1:20" s="14" customFormat="1" ht="14.45" customHeight="1">
      <c r="A154" s="66"/>
      <c r="B154" s="66"/>
      <c r="C154" s="66"/>
      <c r="D154" t="s">
        <v>40</v>
      </c>
      <c r="E154" t="s">
        <v>40</v>
      </c>
      <c r="F154" t="s">
        <v>41</v>
      </c>
      <c r="G154" t="s">
        <v>41</v>
      </c>
      <c r="H154" s="44" t="s">
        <v>185</v>
      </c>
      <c r="I154" s="44" t="s">
        <v>185</v>
      </c>
      <c r="J154" s="44" t="s">
        <v>185</v>
      </c>
      <c r="K154" s="44" t="s">
        <v>185</v>
      </c>
      <c r="L154" s="44" t="s">
        <v>185</v>
      </c>
      <c r="M154" s="44" t="s">
        <v>185</v>
      </c>
      <c r="N154" s="44" t="s">
        <v>185</v>
      </c>
      <c r="O154" s="44" t="s">
        <v>185</v>
      </c>
      <c r="P154" s="44" t="s">
        <v>185</v>
      </c>
      <c r="Q154" s="44" t="s">
        <v>185</v>
      </c>
      <c r="R154" s="51" t="s">
        <v>185</v>
      </c>
      <c r="S154" s="14">
        <v>0</v>
      </c>
      <c r="T154" s="45">
        <v>200</v>
      </c>
    </row>
    <row r="155" spans="1:20" s="14" customFormat="1" ht="14.45" customHeight="1">
      <c r="A155" s="66" t="s">
        <v>7</v>
      </c>
      <c r="B155" s="66">
        <v>4</v>
      </c>
      <c r="C155" s="66">
        <v>1</v>
      </c>
      <c r="D155" t="s">
        <v>68</v>
      </c>
      <c r="E155" t="s">
        <v>63</v>
      </c>
      <c r="F155" t="s">
        <v>142</v>
      </c>
      <c r="G155" t="s">
        <v>63</v>
      </c>
      <c r="H155" s="44">
        <v>8.8350000000000009</v>
      </c>
      <c r="I155" s="44">
        <v>6.0789999999999997</v>
      </c>
      <c r="J155" s="44" t="s">
        <v>287</v>
      </c>
      <c r="K155" s="44">
        <v>6.3259999999999996</v>
      </c>
      <c r="L155" s="44">
        <v>6.3639999999999999</v>
      </c>
      <c r="M155" s="44" t="s">
        <v>269</v>
      </c>
      <c r="N155" s="44" t="s">
        <v>185</v>
      </c>
      <c r="O155" s="44" t="s">
        <v>185</v>
      </c>
      <c r="P155" s="44" t="s">
        <v>185</v>
      </c>
      <c r="Q155" s="44" t="s">
        <v>185</v>
      </c>
      <c r="R155" s="51" t="s">
        <v>185</v>
      </c>
      <c r="S155" s="14">
        <v>2</v>
      </c>
      <c r="T155" s="45">
        <v>200</v>
      </c>
    </row>
    <row r="156" spans="1:20" s="14" customFormat="1" ht="14.45" customHeight="1">
      <c r="A156" s="66"/>
      <c r="B156" s="66"/>
      <c r="C156" s="66"/>
      <c r="D156" t="s">
        <v>49</v>
      </c>
      <c r="E156" t="s">
        <v>148</v>
      </c>
      <c r="F156" t="s">
        <v>52</v>
      </c>
      <c r="G156" t="s">
        <v>125</v>
      </c>
      <c r="H156" s="44">
        <v>9.8010000000000002</v>
      </c>
      <c r="I156" s="44">
        <v>6.4089999999999998</v>
      </c>
      <c r="J156" s="44">
        <v>5.7690000000000001</v>
      </c>
      <c r="K156" s="44">
        <v>6.149</v>
      </c>
      <c r="L156" s="44">
        <v>5.9939999999999998</v>
      </c>
      <c r="M156" s="44">
        <v>5.8949999999999996</v>
      </c>
      <c r="N156" s="44">
        <v>4.8970000000000002</v>
      </c>
      <c r="O156" s="44">
        <v>6.4020000000000001</v>
      </c>
      <c r="P156" s="44">
        <v>6.0570000000000004</v>
      </c>
      <c r="Q156" s="44">
        <v>5.39</v>
      </c>
      <c r="R156" s="51">
        <v>62.762999999999998</v>
      </c>
      <c r="S156" s="14">
        <v>0</v>
      </c>
      <c r="T156" s="45">
        <v>62.762999999999998</v>
      </c>
    </row>
    <row r="157" spans="1:20" s="14" customFormat="1" ht="14.45" customHeight="1">
      <c r="A157" s="66"/>
      <c r="B157" s="66"/>
      <c r="C157" s="66"/>
      <c r="D157" t="s">
        <v>149</v>
      </c>
      <c r="E157" t="s">
        <v>150</v>
      </c>
      <c r="F157" t="s">
        <v>160</v>
      </c>
      <c r="G157" t="s">
        <v>159</v>
      </c>
      <c r="H157" s="44" t="s">
        <v>286</v>
      </c>
      <c r="I157" s="44">
        <v>6.3680000000000003</v>
      </c>
      <c r="J157" s="44">
        <v>6.7370000000000001</v>
      </c>
      <c r="K157" s="44">
        <v>7.2039999999999997</v>
      </c>
      <c r="L157" s="44">
        <v>6.508</v>
      </c>
      <c r="M157" s="44">
        <v>6.5810000000000004</v>
      </c>
      <c r="N157" s="44">
        <v>6.3550000000000004</v>
      </c>
      <c r="O157" s="44">
        <v>6.2649999999999997</v>
      </c>
      <c r="P157" s="44">
        <v>6.7380000000000004</v>
      </c>
      <c r="Q157" s="44">
        <v>6.22</v>
      </c>
      <c r="R157" s="51">
        <v>69.370999999999995</v>
      </c>
      <c r="S157" s="14">
        <v>1</v>
      </c>
      <c r="T157" s="45">
        <v>76.308099999999996</v>
      </c>
    </row>
    <row r="158" spans="1:20" s="14" customFormat="1" ht="14.45" customHeight="1">
      <c r="A158" s="66" t="s">
        <v>7</v>
      </c>
      <c r="B158" s="66">
        <v>4</v>
      </c>
      <c r="C158" s="66">
        <v>2</v>
      </c>
      <c r="D158" t="s">
        <v>128</v>
      </c>
      <c r="E158" t="s">
        <v>129</v>
      </c>
      <c r="F158" t="s">
        <v>58</v>
      </c>
      <c r="G158" t="s">
        <v>127</v>
      </c>
      <c r="H158" s="44">
        <v>11.058999999999999</v>
      </c>
      <c r="I158" s="44">
        <v>8.452</v>
      </c>
      <c r="J158" s="44" t="s">
        <v>288</v>
      </c>
      <c r="K158" s="44">
        <v>6.5209999999999999</v>
      </c>
      <c r="L158" s="44">
        <v>6.8630000000000004</v>
      </c>
      <c r="M158" s="44">
        <v>6.74</v>
      </c>
      <c r="N158" s="44">
        <v>6.6509999999999998</v>
      </c>
      <c r="O158" s="44">
        <v>6.7679999999999998</v>
      </c>
      <c r="P158" s="44">
        <v>6.1440000000000001</v>
      </c>
      <c r="Q158" s="44">
        <v>6.4050000000000002</v>
      </c>
      <c r="R158" s="51">
        <v>74.049000000000007</v>
      </c>
      <c r="S158" s="14">
        <v>1</v>
      </c>
      <c r="T158" s="45">
        <v>81.453900000000019</v>
      </c>
    </row>
    <row r="159" spans="1:20" s="14" customFormat="1" ht="14.45" customHeight="1">
      <c r="A159" s="66"/>
      <c r="B159" s="66"/>
      <c r="C159" s="66"/>
      <c r="D159" t="s">
        <v>177</v>
      </c>
      <c r="E159" t="s">
        <v>178</v>
      </c>
      <c r="F159" t="s">
        <v>45</v>
      </c>
      <c r="G159" t="s">
        <v>44</v>
      </c>
      <c r="H159" s="44">
        <v>10.77</v>
      </c>
      <c r="I159" s="44">
        <v>7.6360000000000001</v>
      </c>
      <c r="J159" s="44">
        <v>7.5789999999999997</v>
      </c>
      <c r="K159" s="44">
        <v>7.34</v>
      </c>
      <c r="L159" s="44">
        <v>7.069</v>
      </c>
      <c r="M159" s="44">
        <v>8.1809999999999992</v>
      </c>
      <c r="N159" s="44">
        <v>7.1779999999999999</v>
      </c>
      <c r="O159" s="44">
        <v>6.9589999999999996</v>
      </c>
      <c r="P159" s="44">
        <v>7.4729999999999999</v>
      </c>
      <c r="Q159" s="44">
        <v>6.6719999999999997</v>
      </c>
      <c r="R159" s="51">
        <v>76.856999999999999</v>
      </c>
      <c r="S159" s="14">
        <v>0</v>
      </c>
      <c r="T159" s="45">
        <v>76.856999999999999</v>
      </c>
    </row>
    <row r="160" spans="1:20" s="14" customFormat="1" ht="14.45" customHeight="1">
      <c r="A160" s="66"/>
      <c r="B160" s="66"/>
      <c r="C160" s="66"/>
      <c r="D160" t="s">
        <v>59</v>
      </c>
      <c r="E160" t="s">
        <v>120</v>
      </c>
      <c r="F160" t="s">
        <v>119</v>
      </c>
      <c r="G160" t="s">
        <v>120</v>
      </c>
      <c r="H160" s="44" t="s">
        <v>289</v>
      </c>
      <c r="I160" s="44">
        <v>5.6449999999999996</v>
      </c>
      <c r="J160" s="44">
        <v>5.8490000000000002</v>
      </c>
      <c r="K160" s="44">
        <v>6.46</v>
      </c>
      <c r="L160" s="44">
        <v>6.601</v>
      </c>
      <c r="M160" s="44">
        <v>6.4980000000000002</v>
      </c>
      <c r="N160" s="44">
        <v>7.008</v>
      </c>
      <c r="O160" s="44">
        <v>6.8049999999999997</v>
      </c>
      <c r="P160" s="44">
        <v>6.8780000000000001</v>
      </c>
      <c r="Q160" s="44">
        <v>7.117</v>
      </c>
      <c r="R160" s="51">
        <v>68.56</v>
      </c>
      <c r="S160" s="14">
        <v>1</v>
      </c>
      <c r="T160" s="45">
        <v>75.416000000000011</v>
      </c>
    </row>
    <row r="161" spans="1:20" s="14" customFormat="1" ht="14.45" customHeight="1">
      <c r="A161" s="66" t="s">
        <v>7</v>
      </c>
      <c r="B161" s="66">
        <v>4</v>
      </c>
      <c r="C161" s="66">
        <v>3</v>
      </c>
      <c r="D161" t="s">
        <v>51</v>
      </c>
      <c r="E161" t="s">
        <v>183</v>
      </c>
      <c r="F161" t="s">
        <v>130</v>
      </c>
      <c r="G161" t="s">
        <v>131</v>
      </c>
      <c r="H161" s="44">
        <v>9.8140000000000001</v>
      </c>
      <c r="I161" s="44">
        <v>6.492</v>
      </c>
      <c r="J161" s="44">
        <v>5.7919999999999998</v>
      </c>
      <c r="K161" s="44">
        <v>5.6189999999999998</v>
      </c>
      <c r="L161" s="44">
        <v>5.7270000000000003</v>
      </c>
      <c r="M161" s="44">
        <v>5.9180000000000001</v>
      </c>
      <c r="N161" s="44">
        <v>6.133</v>
      </c>
      <c r="O161" s="44">
        <v>6.37</v>
      </c>
      <c r="P161" s="44">
        <v>6.3639999999999999</v>
      </c>
      <c r="Q161" s="44">
        <v>6.0010000000000003</v>
      </c>
      <c r="R161" s="51">
        <v>64.23</v>
      </c>
      <c r="S161" s="14">
        <v>0</v>
      </c>
      <c r="T161" s="45">
        <v>64.23</v>
      </c>
    </row>
    <row r="162" spans="1:20" s="14" customFormat="1" ht="14.45" customHeight="1">
      <c r="A162" s="66"/>
      <c r="B162" s="66"/>
      <c r="C162" s="66"/>
      <c r="D162" t="s">
        <v>40</v>
      </c>
      <c r="E162" t="s">
        <v>40</v>
      </c>
      <c r="F162" t="s">
        <v>41</v>
      </c>
      <c r="G162" t="s">
        <v>41</v>
      </c>
      <c r="H162" s="44" t="s">
        <v>185</v>
      </c>
      <c r="I162" s="44" t="s">
        <v>185</v>
      </c>
      <c r="J162" s="44" t="s">
        <v>185</v>
      </c>
      <c r="K162" s="44" t="s">
        <v>185</v>
      </c>
      <c r="L162" s="44" t="s">
        <v>185</v>
      </c>
      <c r="M162" s="44" t="s">
        <v>185</v>
      </c>
      <c r="N162" s="44" t="s">
        <v>185</v>
      </c>
      <c r="O162" s="44" t="s">
        <v>185</v>
      </c>
      <c r="P162" s="44" t="s">
        <v>185</v>
      </c>
      <c r="Q162" s="44" t="s">
        <v>185</v>
      </c>
      <c r="R162" s="51" t="s">
        <v>185</v>
      </c>
      <c r="S162" s="14">
        <v>0</v>
      </c>
      <c r="T162" s="45">
        <v>200</v>
      </c>
    </row>
    <row r="163" spans="1:20" s="14" customFormat="1" ht="14.45" customHeight="1">
      <c r="A163" s="66"/>
      <c r="B163" s="66"/>
      <c r="C163" s="66"/>
      <c r="D163" t="s">
        <v>55</v>
      </c>
      <c r="E163" t="s">
        <v>131</v>
      </c>
      <c r="F163" t="s">
        <v>53</v>
      </c>
      <c r="G163" t="s">
        <v>54</v>
      </c>
      <c r="H163" s="44">
        <v>8.7479999999999993</v>
      </c>
      <c r="I163" s="44">
        <v>5.4329999999999998</v>
      </c>
      <c r="J163" s="44">
        <v>5.5339999999999998</v>
      </c>
      <c r="K163" s="44">
        <v>5.5979999999999999</v>
      </c>
      <c r="L163" s="44" t="s">
        <v>290</v>
      </c>
      <c r="M163" s="44">
        <v>6.0049999999999999</v>
      </c>
      <c r="N163" s="44">
        <v>5.6589999999999998</v>
      </c>
      <c r="O163" s="44">
        <v>5.9139999999999997</v>
      </c>
      <c r="P163" s="44">
        <v>5.7939999999999996</v>
      </c>
      <c r="Q163" s="44">
        <v>5.4950000000000001</v>
      </c>
      <c r="R163" s="51">
        <v>59.811</v>
      </c>
      <c r="S163" s="14">
        <v>1</v>
      </c>
      <c r="T163" s="45">
        <v>65.792100000000005</v>
      </c>
    </row>
    <row r="164" spans="1:20" s="14" customFormat="1" ht="14.45" customHeight="1">
      <c r="A164" s="66" t="s">
        <v>7</v>
      </c>
      <c r="B164" s="66">
        <v>4</v>
      </c>
      <c r="C164" s="66">
        <v>4</v>
      </c>
      <c r="D164" t="s">
        <v>123</v>
      </c>
      <c r="E164" t="s">
        <v>124</v>
      </c>
      <c r="F164" t="s">
        <v>121</v>
      </c>
      <c r="G164" t="s">
        <v>120</v>
      </c>
      <c r="H164" s="44">
        <v>10.567</v>
      </c>
      <c r="I164" s="44">
        <v>7.5810000000000004</v>
      </c>
      <c r="J164" s="44">
        <v>6.5960000000000001</v>
      </c>
      <c r="K164" s="44">
        <v>7.1760000000000002</v>
      </c>
      <c r="L164" s="44">
        <v>7.3689999999999998</v>
      </c>
      <c r="M164" s="44">
        <v>6.4180000000000001</v>
      </c>
      <c r="N164" s="44" t="s">
        <v>291</v>
      </c>
      <c r="O164" s="44">
        <v>8.1359999999999992</v>
      </c>
      <c r="P164" s="44">
        <v>8.1539999999999999</v>
      </c>
      <c r="Q164" s="44">
        <v>7.1269999999999998</v>
      </c>
      <c r="R164" s="51">
        <v>76.564999999999998</v>
      </c>
      <c r="S164" s="14">
        <v>1</v>
      </c>
      <c r="T164" s="45">
        <v>84.221500000000006</v>
      </c>
    </row>
    <row r="165" spans="1:20" s="14" customFormat="1" ht="14.45" customHeight="1">
      <c r="A165" s="66"/>
      <c r="B165" s="66"/>
      <c r="C165" s="66"/>
      <c r="D165" t="s">
        <v>136</v>
      </c>
      <c r="E165" t="s">
        <v>137</v>
      </c>
      <c r="F165" t="s">
        <v>134</v>
      </c>
      <c r="G165" t="s">
        <v>135</v>
      </c>
      <c r="H165" s="44">
        <v>8.9930000000000003</v>
      </c>
      <c r="I165" s="44">
        <v>6.2089999999999996</v>
      </c>
      <c r="J165" s="44">
        <v>5.9240000000000004</v>
      </c>
      <c r="K165" s="44">
        <v>6.3330000000000002</v>
      </c>
      <c r="L165" s="44">
        <v>5.907</v>
      </c>
      <c r="M165" s="44">
        <v>5.8769999999999998</v>
      </c>
      <c r="N165" s="44">
        <v>5.92</v>
      </c>
      <c r="O165" s="44">
        <v>5.5730000000000004</v>
      </c>
      <c r="P165" s="44">
        <v>5.4020000000000001</v>
      </c>
      <c r="Q165" s="44">
        <v>6.3520000000000003</v>
      </c>
      <c r="R165" s="51">
        <v>62.49</v>
      </c>
      <c r="S165" s="14">
        <v>0</v>
      </c>
      <c r="T165" s="45">
        <v>62.49</v>
      </c>
    </row>
    <row r="166" spans="1:20" s="14" customFormat="1" ht="14.45" customHeight="1">
      <c r="A166" s="66"/>
      <c r="B166" s="66"/>
      <c r="C166" s="66"/>
      <c r="D166" t="s">
        <v>140</v>
      </c>
      <c r="E166" t="s">
        <v>141</v>
      </c>
      <c r="F166" t="s">
        <v>61</v>
      </c>
      <c r="G166" t="s">
        <v>158</v>
      </c>
      <c r="H166" s="44">
        <v>9.5250000000000004</v>
      </c>
      <c r="I166" s="44">
        <v>6.3029999999999999</v>
      </c>
      <c r="J166" s="44">
        <v>5.968</v>
      </c>
      <c r="K166" s="44">
        <v>5.9640000000000004</v>
      </c>
      <c r="L166" s="44">
        <v>5.9690000000000003</v>
      </c>
      <c r="M166" s="44">
        <v>5.7859999999999996</v>
      </c>
      <c r="N166" s="44">
        <v>5.742</v>
      </c>
      <c r="O166" s="44">
        <v>5.5819999999999999</v>
      </c>
      <c r="P166" s="44">
        <v>5.8239999999999998</v>
      </c>
      <c r="Q166" s="44">
        <v>6.0380000000000003</v>
      </c>
      <c r="R166" s="51">
        <v>62.701000000000001</v>
      </c>
      <c r="S166" s="14">
        <v>0</v>
      </c>
      <c r="T166" s="45">
        <v>62.701000000000001</v>
      </c>
    </row>
    <row r="167" spans="1:20" s="14" customFormat="1" ht="14.45" customHeight="1">
      <c r="A167" s="66" t="s">
        <v>7</v>
      </c>
      <c r="B167" s="66">
        <v>4</v>
      </c>
      <c r="C167" s="66">
        <v>5</v>
      </c>
      <c r="D167" t="s">
        <v>52</v>
      </c>
      <c r="E167" t="s">
        <v>125</v>
      </c>
      <c r="F167" t="s">
        <v>56</v>
      </c>
      <c r="G167" t="s">
        <v>57</v>
      </c>
      <c r="H167" s="44">
        <v>9.4550000000000001</v>
      </c>
      <c r="I167" s="44">
        <v>6.343</v>
      </c>
      <c r="J167" s="44">
        <v>5.9029999999999996</v>
      </c>
      <c r="K167" s="44">
        <v>6.6859999999999999</v>
      </c>
      <c r="L167" s="44">
        <v>5.3330000000000002</v>
      </c>
      <c r="M167" s="44">
        <v>5.641</v>
      </c>
      <c r="N167" s="44">
        <v>5.9550000000000001</v>
      </c>
      <c r="O167" s="44">
        <v>5.9320000000000004</v>
      </c>
      <c r="P167" s="44">
        <v>5.8330000000000002</v>
      </c>
      <c r="Q167" s="44">
        <v>5.5549999999999997</v>
      </c>
      <c r="R167" s="51">
        <v>62.636000000000003</v>
      </c>
      <c r="S167" s="14">
        <v>0</v>
      </c>
      <c r="T167" s="45">
        <v>62.636000000000003</v>
      </c>
    </row>
    <row r="168" spans="1:20" s="14" customFormat="1" ht="14.45" customHeight="1">
      <c r="A168" s="66"/>
      <c r="B168" s="66"/>
      <c r="C168" s="66"/>
      <c r="D168" t="s">
        <v>45</v>
      </c>
      <c r="E168" t="s">
        <v>44</v>
      </c>
      <c r="F168" t="s">
        <v>177</v>
      </c>
      <c r="G168" t="s">
        <v>178</v>
      </c>
      <c r="H168" s="44" t="s">
        <v>185</v>
      </c>
      <c r="I168" s="44" t="s">
        <v>185</v>
      </c>
      <c r="J168" s="44" t="s">
        <v>185</v>
      </c>
      <c r="K168" s="44" t="s">
        <v>185</v>
      </c>
      <c r="L168" s="44" t="s">
        <v>185</v>
      </c>
      <c r="M168" s="44" t="s">
        <v>185</v>
      </c>
      <c r="N168" s="44" t="s">
        <v>185</v>
      </c>
      <c r="O168" s="44" t="s">
        <v>185</v>
      </c>
      <c r="P168" s="44" t="s">
        <v>185</v>
      </c>
      <c r="Q168" s="44" t="s">
        <v>185</v>
      </c>
      <c r="R168" s="51" t="s">
        <v>185</v>
      </c>
      <c r="S168" s="14">
        <v>0</v>
      </c>
      <c r="T168" s="45">
        <v>200</v>
      </c>
    </row>
    <row r="169" spans="1:20" s="14" customFormat="1" ht="14.45" customHeight="1">
      <c r="A169" s="66"/>
      <c r="B169" s="66"/>
      <c r="C169" s="66"/>
      <c r="D169" t="s">
        <v>153</v>
      </c>
      <c r="E169" t="s">
        <v>154</v>
      </c>
      <c r="F169" t="s">
        <v>155</v>
      </c>
      <c r="G169" t="s">
        <v>156</v>
      </c>
      <c r="H169" s="44">
        <v>8.0670000000000002</v>
      </c>
      <c r="I169" s="44">
        <v>6.0750000000000002</v>
      </c>
      <c r="J169" s="44">
        <v>5.9829999999999997</v>
      </c>
      <c r="K169" s="44">
        <v>6.0039999999999996</v>
      </c>
      <c r="L169" s="44">
        <v>5.94</v>
      </c>
      <c r="M169" s="44">
        <v>6.2290000000000001</v>
      </c>
      <c r="N169" s="44">
        <v>5.8860000000000001</v>
      </c>
      <c r="O169" s="44">
        <v>6.0529999999999999</v>
      </c>
      <c r="P169" s="44">
        <v>5.7480000000000002</v>
      </c>
      <c r="Q169" s="44">
        <v>5.609</v>
      </c>
      <c r="R169" s="51">
        <v>61.594000000000001</v>
      </c>
      <c r="S169" s="14">
        <v>0</v>
      </c>
      <c r="T169" s="45">
        <v>61.594000000000001</v>
      </c>
    </row>
    <row r="170" spans="1:20" s="14" customFormat="1" ht="14.45" customHeight="1">
      <c r="A170" s="66" t="s">
        <v>7</v>
      </c>
      <c r="B170" s="66">
        <v>4</v>
      </c>
      <c r="C170" s="66">
        <v>6</v>
      </c>
      <c r="D170" t="s">
        <v>47</v>
      </c>
      <c r="E170" t="s">
        <v>48</v>
      </c>
      <c r="F170" t="s">
        <v>147</v>
      </c>
      <c r="G170" t="s">
        <v>48</v>
      </c>
      <c r="H170" s="44">
        <v>10.901</v>
      </c>
      <c r="I170" s="44">
        <v>7.1539999999999999</v>
      </c>
      <c r="J170" s="44">
        <v>6.6390000000000002</v>
      </c>
      <c r="K170" s="44">
        <v>6.8630000000000004</v>
      </c>
      <c r="L170" s="44">
        <v>6.39</v>
      </c>
      <c r="M170" s="44">
        <v>6.3109999999999999</v>
      </c>
      <c r="N170" s="44">
        <v>6.2549999999999999</v>
      </c>
      <c r="O170" s="44">
        <v>6.5979999999999999</v>
      </c>
      <c r="P170" s="44">
        <v>6.9390000000000001</v>
      </c>
      <c r="Q170" s="44">
        <v>6.4139999999999997</v>
      </c>
      <c r="R170" s="51">
        <v>70.463999999999999</v>
      </c>
      <c r="S170" s="14">
        <v>0</v>
      </c>
      <c r="T170" s="45">
        <v>70.463999999999999</v>
      </c>
    </row>
    <row r="171" spans="1:20" s="14" customFormat="1" ht="14.45" customHeight="1">
      <c r="A171" s="66"/>
      <c r="B171" s="66"/>
      <c r="C171" s="66"/>
      <c r="D171" t="s">
        <v>134</v>
      </c>
      <c r="E171" t="s">
        <v>135</v>
      </c>
      <c r="F171" t="s">
        <v>136</v>
      </c>
      <c r="G171" t="s">
        <v>137</v>
      </c>
      <c r="H171" s="44">
        <v>9.3079999999999998</v>
      </c>
      <c r="I171" s="44">
        <v>6.2590000000000003</v>
      </c>
      <c r="J171" s="44">
        <v>6.2350000000000003</v>
      </c>
      <c r="K171" s="44">
        <v>5.8419999999999996</v>
      </c>
      <c r="L171" s="44">
        <v>5.9560000000000004</v>
      </c>
      <c r="M171" s="44">
        <v>5.9080000000000004</v>
      </c>
      <c r="N171" s="44">
        <v>5.6929999999999996</v>
      </c>
      <c r="O171" s="44">
        <v>6.5970000000000004</v>
      </c>
      <c r="P171" s="44">
        <v>6.2240000000000002</v>
      </c>
      <c r="Q171" s="44">
        <v>6.38</v>
      </c>
      <c r="R171" s="51">
        <v>64.402000000000001</v>
      </c>
      <c r="S171" s="14">
        <v>0</v>
      </c>
      <c r="T171" s="45">
        <v>64.402000000000001</v>
      </c>
    </row>
    <row r="172" spans="1:20" s="14" customFormat="1" ht="14.45" customHeight="1">
      <c r="A172" s="66"/>
      <c r="B172" s="66"/>
      <c r="C172" s="66"/>
      <c r="D172" t="s">
        <v>53</v>
      </c>
      <c r="E172" t="s">
        <v>54</v>
      </c>
      <c r="F172" t="s">
        <v>130</v>
      </c>
      <c r="G172" t="s">
        <v>131</v>
      </c>
      <c r="H172" s="44">
        <v>8.9770000000000003</v>
      </c>
      <c r="I172" s="44">
        <v>6.0940000000000003</v>
      </c>
      <c r="J172" s="44">
        <v>5.9409999999999998</v>
      </c>
      <c r="K172" s="44">
        <v>5.8419999999999996</v>
      </c>
      <c r="L172" s="44">
        <v>5.7320000000000002</v>
      </c>
      <c r="M172" s="44">
        <v>6.0270000000000001</v>
      </c>
      <c r="N172" s="44">
        <v>5.7930000000000001</v>
      </c>
      <c r="O172" s="44">
        <v>5.9710000000000001</v>
      </c>
      <c r="P172" s="44">
        <v>6.1470000000000002</v>
      </c>
      <c r="Q172" s="44">
        <v>5.8390000000000004</v>
      </c>
      <c r="R172" s="51">
        <v>62.363</v>
      </c>
      <c r="S172" s="14">
        <v>0</v>
      </c>
      <c r="T172" s="45">
        <v>62.363</v>
      </c>
    </row>
    <row r="173" spans="1:20" s="14" customFormat="1" ht="14.45" customHeight="1">
      <c r="A173" s="66" t="s">
        <v>7</v>
      </c>
      <c r="B173" s="66">
        <v>4</v>
      </c>
      <c r="C173" s="66">
        <v>7</v>
      </c>
      <c r="D173" t="s">
        <v>50</v>
      </c>
      <c r="E173" t="s">
        <v>139</v>
      </c>
      <c r="F173" t="s">
        <v>49</v>
      </c>
      <c r="G173" t="s">
        <v>148</v>
      </c>
      <c r="H173" s="44" t="s">
        <v>185</v>
      </c>
      <c r="I173" s="44" t="s">
        <v>185</v>
      </c>
      <c r="J173" s="44" t="s">
        <v>185</v>
      </c>
      <c r="K173" s="44" t="s">
        <v>185</v>
      </c>
      <c r="L173" s="44" t="s">
        <v>185</v>
      </c>
      <c r="M173" s="44" t="s">
        <v>185</v>
      </c>
      <c r="N173" s="44" t="s">
        <v>185</v>
      </c>
      <c r="O173" s="44" t="s">
        <v>185</v>
      </c>
      <c r="P173" s="44" t="s">
        <v>185</v>
      </c>
      <c r="Q173" s="44" t="s">
        <v>185</v>
      </c>
      <c r="R173" s="51" t="s">
        <v>185</v>
      </c>
      <c r="S173" s="14">
        <v>0</v>
      </c>
      <c r="T173" s="45">
        <v>200</v>
      </c>
    </row>
    <row r="174" spans="1:20" s="14" customFormat="1" ht="14.45" customHeight="1">
      <c r="A174" s="66"/>
      <c r="B174" s="66"/>
      <c r="C174" s="66"/>
      <c r="D174" t="s">
        <v>60</v>
      </c>
      <c r="E174" t="s">
        <v>146</v>
      </c>
      <c r="F174" t="s">
        <v>69</v>
      </c>
      <c r="G174" t="s">
        <v>70</v>
      </c>
      <c r="H174" s="44">
        <v>9.1590000000000007</v>
      </c>
      <c r="I174" s="44">
        <v>6.2229999999999999</v>
      </c>
      <c r="J174" s="44">
        <v>7.117</v>
      </c>
      <c r="K174" s="44">
        <v>6.3490000000000002</v>
      </c>
      <c r="L174" s="44" t="s">
        <v>296</v>
      </c>
      <c r="M174" s="44">
        <v>6.3879999999999999</v>
      </c>
      <c r="N174" s="44">
        <v>5.7149999999999999</v>
      </c>
      <c r="O174" s="44">
        <v>6.266</v>
      </c>
      <c r="P174" s="44">
        <v>5.9610000000000003</v>
      </c>
      <c r="Q174" s="44">
        <v>6.1779999999999999</v>
      </c>
      <c r="R174" s="51">
        <v>65.686000000000007</v>
      </c>
      <c r="S174" s="14">
        <v>1</v>
      </c>
      <c r="T174" s="45">
        <v>72.254600000000011</v>
      </c>
    </row>
    <row r="175" spans="1:20" s="14" customFormat="1" ht="14.45" customHeight="1">
      <c r="A175" s="66"/>
      <c r="B175" s="66"/>
      <c r="C175" s="66"/>
      <c r="D175" t="s">
        <v>142</v>
      </c>
      <c r="E175" t="s">
        <v>63</v>
      </c>
      <c r="F175" t="s">
        <v>62</v>
      </c>
      <c r="G175" t="s">
        <v>63</v>
      </c>
      <c r="H175" s="44">
        <v>9.1519999999999992</v>
      </c>
      <c r="I175" s="44">
        <v>6.3289999999999997</v>
      </c>
      <c r="J175" s="44">
        <v>5.681</v>
      </c>
      <c r="K175" s="44">
        <v>6.1630000000000003</v>
      </c>
      <c r="L175" s="44">
        <v>6.6639999999999997</v>
      </c>
      <c r="M175" s="44">
        <v>6.1669999999999998</v>
      </c>
      <c r="N175" s="44">
        <v>6.0970000000000004</v>
      </c>
      <c r="O175" s="44">
        <v>6.266</v>
      </c>
      <c r="P175" s="44">
        <v>6.085</v>
      </c>
      <c r="Q175" s="44">
        <v>5.94</v>
      </c>
      <c r="R175" s="51">
        <v>64.543999999999997</v>
      </c>
      <c r="S175" s="14">
        <v>0</v>
      </c>
      <c r="T175" s="45">
        <v>64.543999999999997</v>
      </c>
    </row>
    <row r="176" spans="1:20" s="14" customFormat="1" ht="14.45" customHeight="1">
      <c r="A176" s="66" t="s">
        <v>7</v>
      </c>
      <c r="B176" s="66">
        <v>4</v>
      </c>
      <c r="C176" s="66">
        <v>8</v>
      </c>
      <c r="D176" t="s">
        <v>43</v>
      </c>
      <c r="E176" t="s">
        <v>46</v>
      </c>
      <c r="F176" t="s">
        <v>145</v>
      </c>
      <c r="G176" t="s">
        <v>46</v>
      </c>
      <c r="H176" s="44">
        <v>10.164999999999999</v>
      </c>
      <c r="I176" s="44">
        <v>6.1210000000000004</v>
      </c>
      <c r="J176" s="44">
        <v>6.6130000000000004</v>
      </c>
      <c r="K176" s="44">
        <v>6.306</v>
      </c>
      <c r="L176" s="44">
        <v>6.673</v>
      </c>
      <c r="M176" s="44">
        <v>6.4649999999999999</v>
      </c>
      <c r="N176" s="44">
        <v>6.2220000000000004</v>
      </c>
      <c r="O176" s="44">
        <v>6.2370000000000001</v>
      </c>
      <c r="P176" s="44">
        <v>6.4480000000000004</v>
      </c>
      <c r="Q176" s="44">
        <v>6.3559999999999999</v>
      </c>
      <c r="R176" s="51">
        <v>67.605999999999995</v>
      </c>
      <c r="S176" s="14">
        <v>0</v>
      </c>
      <c r="T176" s="45">
        <v>67.605999999999995</v>
      </c>
    </row>
    <row r="177" spans="1:20" s="14" customFormat="1" ht="14.45" customHeight="1">
      <c r="A177" s="66"/>
      <c r="B177" s="66"/>
      <c r="C177" s="66"/>
      <c r="D177" t="s">
        <v>61</v>
      </c>
      <c r="E177" t="s">
        <v>158</v>
      </c>
      <c r="F177" t="s">
        <v>140</v>
      </c>
      <c r="G177" t="s">
        <v>141</v>
      </c>
      <c r="H177" s="44" t="s">
        <v>185</v>
      </c>
      <c r="I177" s="44" t="s">
        <v>185</v>
      </c>
      <c r="J177" s="44" t="s">
        <v>185</v>
      </c>
      <c r="K177" s="44" t="s">
        <v>185</v>
      </c>
      <c r="L177" s="44" t="s">
        <v>185</v>
      </c>
      <c r="M177" s="44" t="s">
        <v>185</v>
      </c>
      <c r="N177" s="44" t="s">
        <v>185</v>
      </c>
      <c r="O177" s="44" t="s">
        <v>185</v>
      </c>
      <c r="P177" s="44" t="s">
        <v>185</v>
      </c>
      <c r="Q177" s="44" t="s">
        <v>185</v>
      </c>
      <c r="R177" s="51" t="s">
        <v>185</v>
      </c>
      <c r="S177" s="14">
        <v>0</v>
      </c>
      <c r="T177" s="45">
        <v>200</v>
      </c>
    </row>
    <row r="178" spans="1:20" s="14" customFormat="1" ht="14.45" customHeight="1">
      <c r="A178" s="66"/>
      <c r="B178" s="66"/>
      <c r="C178" s="66"/>
      <c r="D178" t="s">
        <v>56</v>
      </c>
      <c r="E178" t="s">
        <v>57</v>
      </c>
      <c r="F178" t="s">
        <v>52</v>
      </c>
      <c r="G178" t="s">
        <v>125</v>
      </c>
      <c r="H178" s="44">
        <v>9.7219999999999995</v>
      </c>
      <c r="I178" s="44">
        <v>6.0640000000000001</v>
      </c>
      <c r="J178" s="44">
        <v>6.2110000000000003</v>
      </c>
      <c r="K178" s="44">
        <v>6.8479999999999999</v>
      </c>
      <c r="L178" s="44" t="s">
        <v>292</v>
      </c>
      <c r="M178" s="44">
        <v>6.7709999999999999</v>
      </c>
      <c r="N178" s="44">
        <v>6.8</v>
      </c>
      <c r="O178" s="44">
        <v>6.95</v>
      </c>
      <c r="P178" s="44">
        <v>6.35</v>
      </c>
      <c r="Q178" s="44">
        <v>6.617</v>
      </c>
      <c r="R178" s="51">
        <v>68.602999999999994</v>
      </c>
      <c r="S178" s="14">
        <v>1</v>
      </c>
      <c r="T178" s="45">
        <v>75.463300000000004</v>
      </c>
    </row>
    <row r="179" spans="1:20" s="14" customFormat="1" ht="14.45" customHeight="1">
      <c r="A179" s="66" t="s">
        <v>7</v>
      </c>
      <c r="B179" s="66">
        <v>4</v>
      </c>
      <c r="C179" s="66">
        <v>9</v>
      </c>
      <c r="D179" t="s">
        <v>140</v>
      </c>
      <c r="E179" t="s">
        <v>151</v>
      </c>
      <c r="F179" t="s">
        <v>72</v>
      </c>
      <c r="G179" t="s">
        <v>152</v>
      </c>
      <c r="H179" s="44">
        <v>8.5709999999999997</v>
      </c>
      <c r="I179" s="44">
        <v>5.9770000000000003</v>
      </c>
      <c r="J179" s="44">
        <v>5.9980000000000002</v>
      </c>
      <c r="K179" s="44">
        <v>5.8449999999999998</v>
      </c>
      <c r="L179" s="44">
        <v>5.4260000000000002</v>
      </c>
      <c r="M179" s="44">
        <v>5.8449999999999998</v>
      </c>
      <c r="N179" s="44">
        <v>5.7850000000000001</v>
      </c>
      <c r="O179" s="44">
        <v>5.5709999999999997</v>
      </c>
      <c r="P179" s="44">
        <v>5.4029999999999996</v>
      </c>
      <c r="Q179" s="44">
        <v>5.9859999999999998</v>
      </c>
      <c r="R179" s="51">
        <v>60.406999999999996</v>
      </c>
      <c r="S179" s="14">
        <v>0</v>
      </c>
      <c r="T179" s="45">
        <v>60.406999999999996</v>
      </c>
    </row>
    <row r="180" spans="1:20" s="14" customFormat="1" ht="14.45" customHeight="1">
      <c r="A180" s="66"/>
      <c r="B180" s="66"/>
      <c r="C180" s="66"/>
      <c r="D180" t="s">
        <v>64</v>
      </c>
      <c r="E180" t="s">
        <v>65</v>
      </c>
      <c r="F180" t="s">
        <v>143</v>
      </c>
      <c r="G180" t="s">
        <v>144</v>
      </c>
      <c r="H180" s="44">
        <v>10.287000000000001</v>
      </c>
      <c r="I180" s="44">
        <v>7.0860000000000003</v>
      </c>
      <c r="J180" s="44">
        <v>6.218</v>
      </c>
      <c r="K180" s="44">
        <v>5.391</v>
      </c>
      <c r="L180" s="44">
        <v>5.617</v>
      </c>
      <c r="M180" s="44">
        <v>6.5279999999999996</v>
      </c>
      <c r="N180" s="44">
        <v>6.1159999999999997</v>
      </c>
      <c r="O180" s="44">
        <v>5.9790000000000001</v>
      </c>
      <c r="P180" s="44">
        <v>6.2489999999999997</v>
      </c>
      <c r="Q180" s="44">
        <v>7.8330000000000002</v>
      </c>
      <c r="R180" s="51">
        <v>67.304000000000002</v>
      </c>
      <c r="S180" s="14">
        <v>0</v>
      </c>
      <c r="T180" s="45">
        <v>67.304000000000002</v>
      </c>
    </row>
    <row r="181" spans="1:20" s="14" customFormat="1" ht="14.45" customHeight="1">
      <c r="A181" s="66"/>
      <c r="B181" s="66"/>
      <c r="C181" s="66"/>
      <c r="D181" t="s">
        <v>132</v>
      </c>
      <c r="E181" t="s">
        <v>133</v>
      </c>
      <c r="F181" t="s">
        <v>160</v>
      </c>
      <c r="G181" t="s">
        <v>159</v>
      </c>
      <c r="H181" s="44">
        <v>11.32</v>
      </c>
      <c r="I181" s="44">
        <v>6.83</v>
      </c>
      <c r="J181" s="44">
        <v>7.1539999999999999</v>
      </c>
      <c r="K181" s="44">
        <v>6.9450000000000003</v>
      </c>
      <c r="L181" s="44" t="s">
        <v>293</v>
      </c>
      <c r="M181" s="44">
        <v>7.3559999999999999</v>
      </c>
      <c r="N181" s="44">
        <v>6.1390000000000002</v>
      </c>
      <c r="O181" s="44">
        <v>6.2439999999999998</v>
      </c>
      <c r="P181" s="44">
        <v>5.9160000000000004</v>
      </c>
      <c r="Q181" s="44">
        <v>3.6850000000000001</v>
      </c>
      <c r="R181" s="51">
        <v>68.393000000000001</v>
      </c>
      <c r="S181" s="14">
        <v>1</v>
      </c>
      <c r="T181" s="45">
        <v>75.232300000000009</v>
      </c>
    </row>
    <row r="182" spans="1:20" s="14" customFormat="1" ht="14.45" customHeight="1">
      <c r="A182" s="66" t="s">
        <v>7</v>
      </c>
      <c r="B182" s="66">
        <v>4</v>
      </c>
      <c r="C182" s="66">
        <v>10</v>
      </c>
      <c r="D182" t="s">
        <v>121</v>
      </c>
      <c r="E182" t="s">
        <v>120</v>
      </c>
      <c r="F182" t="s">
        <v>119</v>
      </c>
      <c r="G182" t="s">
        <v>120</v>
      </c>
      <c r="H182" s="44">
        <v>9.8879999999999999</v>
      </c>
      <c r="I182" s="44">
        <v>6.4329999999999998</v>
      </c>
      <c r="J182" s="44">
        <v>6.5149999999999997</v>
      </c>
      <c r="K182" s="44">
        <v>6.5570000000000004</v>
      </c>
      <c r="L182" s="44">
        <v>6.1239999999999997</v>
      </c>
      <c r="M182" s="44">
        <v>6.6849999999999996</v>
      </c>
      <c r="N182" s="44">
        <v>6.319</v>
      </c>
      <c r="O182" s="44">
        <v>6.6509999999999998</v>
      </c>
      <c r="P182" s="44">
        <v>6.5720000000000001</v>
      </c>
      <c r="Q182" s="44">
        <v>6.1970000000000001</v>
      </c>
      <c r="R182" s="51">
        <v>67.941000000000003</v>
      </c>
      <c r="S182" s="14">
        <v>0</v>
      </c>
      <c r="T182" s="45">
        <v>67.941000000000003</v>
      </c>
    </row>
    <row r="183" spans="1:20" s="14" customFormat="1" ht="14.45" customHeight="1">
      <c r="A183" s="66"/>
      <c r="B183" s="66"/>
      <c r="C183" s="66"/>
      <c r="D183" t="s">
        <v>157</v>
      </c>
      <c r="E183" t="s">
        <v>184</v>
      </c>
      <c r="F183" t="s">
        <v>155</v>
      </c>
      <c r="G183" t="s">
        <v>156</v>
      </c>
      <c r="H183" s="44">
        <v>9.7059999999999995</v>
      </c>
      <c r="I183" s="44">
        <v>7.3090000000000002</v>
      </c>
      <c r="J183" s="44">
        <v>6.5039999999999996</v>
      </c>
      <c r="K183" s="44">
        <v>6.1150000000000002</v>
      </c>
      <c r="L183" s="44">
        <v>6.3949999999999996</v>
      </c>
      <c r="M183" s="44">
        <v>6.5149999999999997</v>
      </c>
      <c r="N183" s="44">
        <v>7.0279999999999996</v>
      </c>
      <c r="O183" s="44">
        <v>5.9470000000000001</v>
      </c>
      <c r="P183" s="44">
        <v>6.4180000000000001</v>
      </c>
      <c r="Q183" s="44">
        <v>6.2279999999999998</v>
      </c>
      <c r="R183" s="51">
        <v>68.165000000000006</v>
      </c>
      <c r="S183" s="14">
        <v>0</v>
      </c>
      <c r="T183" s="45">
        <v>68.165000000000006</v>
      </c>
    </row>
    <row r="184" spans="1:20" s="14" customFormat="1" ht="14.45" customHeight="1">
      <c r="A184" s="66"/>
      <c r="B184" s="66"/>
      <c r="C184" s="66"/>
      <c r="D184" t="s">
        <v>126</v>
      </c>
      <c r="E184" t="s">
        <v>127</v>
      </c>
      <c r="F184" t="s">
        <v>58</v>
      </c>
      <c r="G184" t="s">
        <v>127</v>
      </c>
      <c r="H184" s="44">
        <v>8.9329999999999998</v>
      </c>
      <c r="I184" s="44">
        <v>5.8360000000000003</v>
      </c>
      <c r="J184" s="44">
        <v>5.9720000000000004</v>
      </c>
      <c r="K184" s="44">
        <v>5.9729999999999999</v>
      </c>
      <c r="L184" s="44">
        <v>6.0270000000000001</v>
      </c>
      <c r="M184" s="44">
        <v>5.806</v>
      </c>
      <c r="N184" s="44">
        <v>6.0860000000000003</v>
      </c>
      <c r="O184" s="44">
        <v>6.1630000000000003</v>
      </c>
      <c r="P184" s="44">
        <v>6.218</v>
      </c>
      <c r="Q184" s="44">
        <v>6.5670000000000002</v>
      </c>
      <c r="R184" s="51">
        <v>63.581000000000003</v>
      </c>
      <c r="S184" s="14">
        <v>0</v>
      </c>
      <c r="T184" s="45">
        <v>63.581000000000003</v>
      </c>
    </row>
    <row r="185" spans="1:20" s="14" customFormat="1" ht="14.45" customHeight="1">
      <c r="A185" s="66" t="s">
        <v>7</v>
      </c>
      <c r="B185" s="66">
        <v>4</v>
      </c>
      <c r="C185" s="66">
        <v>11</v>
      </c>
      <c r="D185" t="s">
        <v>134</v>
      </c>
      <c r="E185" t="s">
        <v>138</v>
      </c>
      <c r="F185" t="s">
        <v>134</v>
      </c>
      <c r="G185" t="s">
        <v>135</v>
      </c>
      <c r="H185" s="44">
        <v>10.342000000000001</v>
      </c>
      <c r="I185" s="44">
        <v>7.2</v>
      </c>
      <c r="J185" s="44">
        <v>6.641</v>
      </c>
      <c r="K185" s="44">
        <v>7.2009999999999996</v>
      </c>
      <c r="L185" s="44">
        <v>6.4989999999999997</v>
      </c>
      <c r="M185" s="44">
        <v>6.8860000000000001</v>
      </c>
      <c r="N185" s="44">
        <v>6.6749999999999998</v>
      </c>
      <c r="O185" s="44">
        <v>6.0110000000000001</v>
      </c>
      <c r="P185" s="44">
        <v>6.87</v>
      </c>
      <c r="Q185" s="44">
        <v>6.9630000000000001</v>
      </c>
      <c r="R185" s="51">
        <v>71.287999999999997</v>
      </c>
      <c r="S185" s="14">
        <v>0</v>
      </c>
      <c r="T185" s="45">
        <v>71.287999999999997</v>
      </c>
    </row>
    <row r="186" spans="1:20" s="14" customFormat="1" ht="14.45" customHeight="1">
      <c r="A186" s="66"/>
      <c r="B186" s="66"/>
      <c r="C186" s="66"/>
      <c r="D186" t="s">
        <v>66</v>
      </c>
      <c r="E186" t="s">
        <v>67</v>
      </c>
      <c r="F186" t="s">
        <v>43</v>
      </c>
      <c r="G186" t="s">
        <v>46</v>
      </c>
      <c r="H186" s="44">
        <v>9.1189999999999998</v>
      </c>
      <c r="I186" s="44">
        <v>5.8090000000000002</v>
      </c>
      <c r="J186" s="44">
        <v>5.476</v>
      </c>
      <c r="K186" s="44">
        <v>5.4219999999999997</v>
      </c>
      <c r="L186" s="44">
        <v>5.4269999999999996</v>
      </c>
      <c r="M186" s="44">
        <v>6.1710000000000003</v>
      </c>
      <c r="N186" s="44" t="s">
        <v>294</v>
      </c>
      <c r="O186" s="44">
        <v>5.48</v>
      </c>
      <c r="P186" s="44">
        <v>5.3179999999999996</v>
      </c>
      <c r="Q186" s="44" t="s">
        <v>187</v>
      </c>
      <c r="R186" s="51" t="s">
        <v>185</v>
      </c>
      <c r="S186" s="14">
        <v>2</v>
      </c>
      <c r="T186" s="45">
        <v>200</v>
      </c>
    </row>
    <row r="187" spans="1:20" s="14" customFormat="1" ht="14.45" customHeight="1">
      <c r="A187" s="66"/>
      <c r="B187" s="66"/>
      <c r="C187" s="66"/>
      <c r="D187" t="s">
        <v>62</v>
      </c>
      <c r="E187" t="s">
        <v>63</v>
      </c>
      <c r="F187" t="s">
        <v>68</v>
      </c>
      <c r="G187" t="s">
        <v>63</v>
      </c>
      <c r="H187" s="44">
        <v>9.5250000000000004</v>
      </c>
      <c r="I187" s="44">
        <v>6.8090000000000002</v>
      </c>
      <c r="J187" s="44">
        <v>6.3650000000000002</v>
      </c>
      <c r="K187" s="44">
        <v>6.702</v>
      </c>
      <c r="L187" s="44">
        <v>6.26</v>
      </c>
      <c r="M187" s="44">
        <v>6.66</v>
      </c>
      <c r="N187" s="44">
        <v>6.9480000000000004</v>
      </c>
      <c r="O187" s="44" t="s">
        <v>295</v>
      </c>
      <c r="P187" s="44">
        <v>6.5439999999999996</v>
      </c>
      <c r="Q187" s="44">
        <v>6.6479999999999997</v>
      </c>
      <c r="R187" s="51">
        <v>68.795000000000002</v>
      </c>
      <c r="S187" s="14">
        <v>0</v>
      </c>
      <c r="T187" s="45">
        <v>68.795000000000002</v>
      </c>
    </row>
    <row r="188" spans="1:20" s="14" customFormat="1" ht="14.45" customHeight="1">
      <c r="A188" s="66" t="s">
        <v>31</v>
      </c>
      <c r="B188" s="66">
        <v>4</v>
      </c>
      <c r="C188" s="66">
        <v>1</v>
      </c>
      <c r="D188" t="s">
        <v>140</v>
      </c>
      <c r="E188" t="s">
        <v>141</v>
      </c>
      <c r="F188" t="s">
        <v>61</v>
      </c>
      <c r="G188" t="s">
        <v>158</v>
      </c>
      <c r="H188" s="44" t="s">
        <v>185</v>
      </c>
      <c r="I188" s="44" t="s">
        <v>185</v>
      </c>
      <c r="J188" s="44" t="s">
        <v>185</v>
      </c>
      <c r="K188" s="44" t="s">
        <v>185</v>
      </c>
      <c r="L188" s="44" t="s">
        <v>185</v>
      </c>
      <c r="M188" s="44" t="s">
        <v>185</v>
      </c>
      <c r="N188" s="44" t="s">
        <v>185</v>
      </c>
      <c r="O188" s="44" t="s">
        <v>185</v>
      </c>
      <c r="P188" s="44" t="s">
        <v>185</v>
      </c>
      <c r="Q188" s="44" t="s">
        <v>185</v>
      </c>
      <c r="R188" s="51" t="s">
        <v>185</v>
      </c>
      <c r="S188" s="14">
        <v>0</v>
      </c>
      <c r="T188" s="45">
        <v>200</v>
      </c>
    </row>
    <row r="189" spans="1:20" s="14" customFormat="1" ht="14.45" customHeight="1">
      <c r="A189" s="66"/>
      <c r="B189" s="66"/>
      <c r="C189" s="66"/>
      <c r="D189" t="s">
        <v>160</v>
      </c>
      <c r="E189" t="s">
        <v>159</v>
      </c>
      <c r="F189" t="s">
        <v>51</v>
      </c>
      <c r="G189" t="s">
        <v>183</v>
      </c>
      <c r="H189" s="44">
        <v>8.5399999999999991</v>
      </c>
      <c r="I189" s="44">
        <v>6.0439999999999996</v>
      </c>
      <c r="J189" s="44">
        <v>6.0670000000000002</v>
      </c>
      <c r="K189" s="44">
        <v>5.98</v>
      </c>
      <c r="L189" s="44">
        <v>5.8719999999999999</v>
      </c>
      <c r="M189" s="44" t="s">
        <v>185</v>
      </c>
      <c r="N189" s="44" t="s">
        <v>185</v>
      </c>
      <c r="O189" s="44" t="s">
        <v>185</v>
      </c>
      <c r="P189" s="44" t="s">
        <v>185</v>
      </c>
      <c r="Q189" s="44" t="s">
        <v>185</v>
      </c>
      <c r="R189" s="51" t="s">
        <v>185</v>
      </c>
      <c r="S189" s="14">
        <v>0</v>
      </c>
      <c r="T189" s="45">
        <v>200</v>
      </c>
    </row>
    <row r="190" spans="1:20" s="14" customFormat="1" ht="14.45" customHeight="1">
      <c r="A190" s="66"/>
      <c r="B190" s="66"/>
      <c r="C190" s="66"/>
      <c r="D190" t="s">
        <v>72</v>
      </c>
      <c r="E190" t="s">
        <v>152</v>
      </c>
      <c r="F190" t="s">
        <v>165</v>
      </c>
      <c r="G190" t="s">
        <v>152</v>
      </c>
      <c r="H190" s="44">
        <v>8.8369999999999997</v>
      </c>
      <c r="I190" s="44">
        <v>5.968</v>
      </c>
      <c r="J190" s="44">
        <v>5.7910000000000004</v>
      </c>
      <c r="K190" s="44">
        <v>5.6120000000000001</v>
      </c>
      <c r="L190" s="44">
        <v>5.7750000000000004</v>
      </c>
      <c r="M190" s="44">
        <v>5.6929999999999996</v>
      </c>
      <c r="N190" s="44">
        <v>5.6059999999999999</v>
      </c>
      <c r="O190" s="44">
        <v>5.516</v>
      </c>
      <c r="P190" s="44">
        <v>5.569</v>
      </c>
      <c r="Q190" s="44">
        <v>5.6440000000000001</v>
      </c>
      <c r="R190" s="51">
        <v>60.011000000000003</v>
      </c>
      <c r="S190" s="14">
        <v>0</v>
      </c>
      <c r="T190" s="45">
        <v>60.011000000000003</v>
      </c>
    </row>
    <row r="191" spans="1:20" s="14" customFormat="1" ht="14.45" customHeight="1">
      <c r="A191" s="66" t="s">
        <v>31</v>
      </c>
      <c r="B191" s="66">
        <v>4</v>
      </c>
      <c r="C191" s="66">
        <v>2</v>
      </c>
      <c r="D191" t="s">
        <v>69</v>
      </c>
      <c r="E191" t="s">
        <v>70</v>
      </c>
      <c r="F191" t="s">
        <v>64</v>
      </c>
      <c r="G191" t="s">
        <v>164</v>
      </c>
      <c r="H191" s="44">
        <v>9.8550000000000004</v>
      </c>
      <c r="I191" s="44">
        <v>5.9950000000000001</v>
      </c>
      <c r="J191" s="44">
        <v>5.2939999999999996</v>
      </c>
      <c r="K191" s="44">
        <v>5.2359999999999998</v>
      </c>
      <c r="L191" s="44">
        <v>5.2830000000000004</v>
      </c>
      <c r="M191" s="44">
        <v>5.52</v>
      </c>
      <c r="N191" s="44">
        <v>5.4219999999999997</v>
      </c>
      <c r="O191" s="44">
        <v>5.7009999999999996</v>
      </c>
      <c r="P191" s="44">
        <v>5.55</v>
      </c>
      <c r="Q191" s="44">
        <v>5.1180000000000003</v>
      </c>
      <c r="R191" s="51">
        <v>58.973999999999997</v>
      </c>
      <c r="S191" s="14">
        <v>0</v>
      </c>
      <c r="T191" s="45">
        <v>58.973999999999997</v>
      </c>
    </row>
    <row r="192" spans="1:20" s="14" customFormat="1" ht="14.45" customHeight="1">
      <c r="A192" s="66"/>
      <c r="B192" s="66"/>
      <c r="C192" s="66"/>
      <c r="D192" t="s">
        <v>50</v>
      </c>
      <c r="E192" t="s">
        <v>139</v>
      </c>
      <c r="F192" t="s">
        <v>49</v>
      </c>
      <c r="G192" t="s">
        <v>148</v>
      </c>
      <c r="H192" s="44">
        <v>10.545</v>
      </c>
      <c r="I192" s="44">
        <v>6.1710000000000003</v>
      </c>
      <c r="J192" s="44">
        <v>5.9160000000000004</v>
      </c>
      <c r="K192" s="44">
        <v>5.6639999999999997</v>
      </c>
      <c r="L192" s="44">
        <v>6.14</v>
      </c>
      <c r="M192" s="44">
        <v>5.92</v>
      </c>
      <c r="N192" s="44">
        <v>5.806</v>
      </c>
      <c r="O192" s="44">
        <v>5.6319999999999997</v>
      </c>
      <c r="P192" s="44">
        <v>5.4370000000000003</v>
      </c>
      <c r="Q192" s="44">
        <v>5.6319999999999997</v>
      </c>
      <c r="R192" s="51">
        <v>62.863</v>
      </c>
      <c r="S192" s="14">
        <v>0</v>
      </c>
      <c r="T192" s="45">
        <v>62.863</v>
      </c>
    </row>
    <row r="193" spans="1:20" s="14" customFormat="1" ht="14.45" customHeight="1">
      <c r="A193" s="66"/>
      <c r="B193" s="66"/>
      <c r="C193" s="66"/>
      <c r="D193" t="s">
        <v>71</v>
      </c>
      <c r="E193" t="s">
        <v>162</v>
      </c>
      <c r="F193" t="s">
        <v>163</v>
      </c>
      <c r="G193" t="s">
        <v>69</v>
      </c>
      <c r="H193" s="44">
        <v>8.6020000000000003</v>
      </c>
      <c r="I193" s="44">
        <v>5.649</v>
      </c>
      <c r="J193" s="44">
        <v>5.3460000000000001</v>
      </c>
      <c r="K193" s="44">
        <v>5.2009999999999996</v>
      </c>
      <c r="L193" s="44">
        <v>5.56</v>
      </c>
      <c r="M193" s="44">
        <v>5.2610000000000001</v>
      </c>
      <c r="N193" s="44">
        <v>5.5069999999999997</v>
      </c>
      <c r="O193" s="44">
        <v>5.3220000000000001</v>
      </c>
      <c r="P193" s="44" t="s">
        <v>297</v>
      </c>
      <c r="Q193" s="44" t="s">
        <v>185</v>
      </c>
      <c r="R193" s="51">
        <v>200</v>
      </c>
      <c r="S193" s="14">
        <v>2</v>
      </c>
      <c r="T193" s="45">
        <v>200</v>
      </c>
    </row>
    <row r="194" spans="1:20" s="14" customFormat="1" ht="14.45" customHeight="1">
      <c r="A194" s="66" t="s">
        <v>31</v>
      </c>
      <c r="B194" s="66">
        <v>4</v>
      </c>
      <c r="C194" s="66">
        <v>3</v>
      </c>
      <c r="D194" t="s">
        <v>52</v>
      </c>
      <c r="E194" t="s">
        <v>125</v>
      </c>
      <c r="F194" t="s">
        <v>56</v>
      </c>
      <c r="G194" t="s">
        <v>57</v>
      </c>
      <c r="H194" s="44" t="s">
        <v>185</v>
      </c>
      <c r="I194" s="44" t="s">
        <v>185</v>
      </c>
      <c r="J194" s="44" t="s">
        <v>185</v>
      </c>
      <c r="K194" s="44" t="s">
        <v>185</v>
      </c>
      <c r="L194" s="44" t="s">
        <v>185</v>
      </c>
      <c r="M194" s="44" t="s">
        <v>185</v>
      </c>
      <c r="N194" s="44" t="s">
        <v>185</v>
      </c>
      <c r="O194" s="44" t="s">
        <v>185</v>
      </c>
      <c r="P194" s="44" t="s">
        <v>185</v>
      </c>
      <c r="Q194" s="44" t="s">
        <v>185</v>
      </c>
      <c r="R194" s="51" t="s">
        <v>185</v>
      </c>
      <c r="S194" s="14">
        <v>0</v>
      </c>
      <c r="T194" s="45">
        <v>200</v>
      </c>
    </row>
    <row r="195" spans="1:20" s="14" customFormat="1" ht="14.45" customHeight="1">
      <c r="A195" s="66"/>
      <c r="B195" s="66"/>
      <c r="C195" s="66"/>
      <c r="D195" t="s">
        <v>73</v>
      </c>
      <c r="E195" t="s">
        <v>161</v>
      </c>
      <c r="F195" t="s">
        <v>139</v>
      </c>
      <c r="G195" t="s">
        <v>50</v>
      </c>
      <c r="H195" s="44" t="s">
        <v>185</v>
      </c>
      <c r="I195" s="44" t="s">
        <v>185</v>
      </c>
      <c r="J195" s="44" t="s">
        <v>185</v>
      </c>
      <c r="K195" s="44" t="s">
        <v>185</v>
      </c>
      <c r="L195" s="44" t="s">
        <v>185</v>
      </c>
      <c r="M195" s="44" t="s">
        <v>185</v>
      </c>
      <c r="N195" s="44" t="s">
        <v>185</v>
      </c>
      <c r="O195" s="44" t="s">
        <v>185</v>
      </c>
      <c r="P195" s="44" t="s">
        <v>185</v>
      </c>
      <c r="Q195" s="44" t="s">
        <v>185</v>
      </c>
      <c r="R195" s="51" t="s">
        <v>185</v>
      </c>
      <c r="S195" s="14">
        <v>0</v>
      </c>
      <c r="T195" s="45">
        <v>200</v>
      </c>
    </row>
    <row r="196" spans="1:20" s="14" customFormat="1" ht="14.45" customHeight="1">
      <c r="A196" s="66"/>
      <c r="B196" s="66"/>
      <c r="C196" s="66"/>
      <c r="D196" t="s">
        <v>59</v>
      </c>
      <c r="E196" t="s">
        <v>120</v>
      </c>
      <c r="F196" t="s">
        <v>119</v>
      </c>
      <c r="G196" t="s">
        <v>120</v>
      </c>
      <c r="H196" s="44">
        <v>10.239000000000001</v>
      </c>
      <c r="I196" s="44">
        <v>6.093</v>
      </c>
      <c r="J196" s="44">
        <v>6.12</v>
      </c>
      <c r="K196" s="44">
        <v>5.74</v>
      </c>
      <c r="L196" s="44">
        <v>6.173</v>
      </c>
      <c r="M196" s="44">
        <v>5.9829999999999997</v>
      </c>
      <c r="N196" s="44">
        <v>5.5910000000000002</v>
      </c>
      <c r="O196" s="44">
        <v>6.1150000000000002</v>
      </c>
      <c r="P196" s="44">
        <v>5.2190000000000003</v>
      </c>
      <c r="Q196" s="44">
        <v>5.7069999999999999</v>
      </c>
      <c r="R196" s="51">
        <v>62.98</v>
      </c>
      <c r="S196" s="14">
        <v>0</v>
      </c>
      <c r="T196" s="45">
        <v>62.98</v>
      </c>
    </row>
    <row r="197" spans="1:20" s="14" customFormat="1" ht="14.45" customHeight="1">
      <c r="A197" s="66" t="s">
        <v>31</v>
      </c>
      <c r="B197" s="66">
        <v>4</v>
      </c>
      <c r="C197" s="66">
        <v>4</v>
      </c>
      <c r="D197" t="s">
        <v>61</v>
      </c>
      <c r="E197" t="s">
        <v>158</v>
      </c>
      <c r="F197" t="s">
        <v>140</v>
      </c>
      <c r="G197" t="s">
        <v>141</v>
      </c>
      <c r="H197" s="44">
        <v>9.2479999999999993</v>
      </c>
      <c r="I197" s="44">
        <v>6.1749999999999998</v>
      </c>
      <c r="J197" s="44">
        <v>6.26</v>
      </c>
      <c r="K197" s="44">
        <v>5.8239999999999998</v>
      </c>
      <c r="L197" s="44">
        <v>5.7350000000000003</v>
      </c>
      <c r="M197" s="44">
        <v>5.8109999999999999</v>
      </c>
      <c r="N197" s="44">
        <v>5.9089999999999998</v>
      </c>
      <c r="O197" s="44">
        <v>5.5279999999999996</v>
      </c>
      <c r="P197" s="44">
        <v>5.7750000000000004</v>
      </c>
      <c r="Q197" s="44">
        <v>5.9630000000000001</v>
      </c>
      <c r="R197" s="51">
        <v>62.228000000000002</v>
      </c>
      <c r="S197" s="14">
        <v>0</v>
      </c>
      <c r="T197" s="45">
        <v>62.228000000000002</v>
      </c>
    </row>
    <row r="198" spans="1:20" s="14" customFormat="1" ht="14.45" customHeight="1">
      <c r="A198" s="66"/>
      <c r="B198" s="66"/>
      <c r="C198" s="66"/>
      <c r="D198" t="s">
        <v>121</v>
      </c>
      <c r="E198" t="s">
        <v>120</v>
      </c>
      <c r="F198" t="s">
        <v>119</v>
      </c>
      <c r="G198" t="s">
        <v>120</v>
      </c>
      <c r="H198" s="44">
        <v>9.2119999999999997</v>
      </c>
      <c r="I198" s="44">
        <v>6.7270000000000003</v>
      </c>
      <c r="J198" s="44">
        <v>6.0869999999999997</v>
      </c>
      <c r="K198" s="44">
        <v>6.1870000000000003</v>
      </c>
      <c r="L198" s="44">
        <v>5.8959999999999999</v>
      </c>
      <c r="M198" s="44" t="s">
        <v>185</v>
      </c>
      <c r="N198" s="44" t="s">
        <v>185</v>
      </c>
      <c r="O198" s="44" t="s">
        <v>185</v>
      </c>
      <c r="P198" s="44" t="s">
        <v>185</v>
      </c>
      <c r="Q198" s="44" t="s">
        <v>185</v>
      </c>
      <c r="R198" s="50" t="s">
        <v>185</v>
      </c>
      <c r="S198" s="14">
        <v>0</v>
      </c>
      <c r="T198" s="45">
        <v>200</v>
      </c>
    </row>
    <row r="199" spans="1:20" s="14" customFormat="1" ht="14.45" customHeight="1">
      <c r="A199" s="66"/>
      <c r="B199" s="66"/>
      <c r="C199" s="66"/>
      <c r="D199" t="s">
        <v>40</v>
      </c>
      <c r="E199" t="s">
        <v>40</v>
      </c>
      <c r="F199" t="s">
        <v>41</v>
      </c>
      <c r="G199" t="s">
        <v>41</v>
      </c>
      <c r="H199" s="44" t="s">
        <v>185</v>
      </c>
      <c r="I199" s="44" t="s">
        <v>185</v>
      </c>
      <c r="J199" s="44" t="s">
        <v>185</v>
      </c>
      <c r="K199" s="44" t="s">
        <v>185</v>
      </c>
      <c r="L199" s="44" t="s">
        <v>185</v>
      </c>
      <c r="M199" s="44" t="s">
        <v>185</v>
      </c>
      <c r="N199" s="44" t="s">
        <v>185</v>
      </c>
      <c r="O199" s="44" t="s">
        <v>185</v>
      </c>
      <c r="P199" s="44" t="s">
        <v>185</v>
      </c>
      <c r="Q199" s="44" t="s">
        <v>185</v>
      </c>
      <c r="R199" s="50" t="s">
        <v>185</v>
      </c>
      <c r="S199" s="14">
        <v>0</v>
      </c>
      <c r="T199" s="45">
        <v>200</v>
      </c>
    </row>
    <row r="200" spans="1:20" s="14" customFormat="1" ht="14.45" customHeight="1">
      <c r="A200" s="66" t="s">
        <v>6</v>
      </c>
      <c r="B200" s="66">
        <v>5</v>
      </c>
      <c r="C200" s="66">
        <v>1</v>
      </c>
      <c r="D200" t="s">
        <v>40</v>
      </c>
      <c r="E200" t="s">
        <v>40</v>
      </c>
      <c r="F200" t="s">
        <v>41</v>
      </c>
      <c r="G200" t="s">
        <v>41</v>
      </c>
      <c r="H200" s="44" t="s">
        <v>185</v>
      </c>
      <c r="I200" s="44" t="s">
        <v>185</v>
      </c>
      <c r="J200" s="44" t="s">
        <v>185</v>
      </c>
      <c r="K200" s="44" t="s">
        <v>185</v>
      </c>
      <c r="L200" s="44" t="s">
        <v>185</v>
      </c>
      <c r="M200" s="44" t="s">
        <v>185</v>
      </c>
      <c r="N200" s="44" t="s">
        <v>185</v>
      </c>
      <c r="O200" s="44" t="s">
        <v>185</v>
      </c>
      <c r="P200" s="44" t="s">
        <v>185</v>
      </c>
      <c r="Q200" s="44" t="s">
        <v>185</v>
      </c>
      <c r="R200" s="50" t="s">
        <v>185</v>
      </c>
      <c r="S200" s="14">
        <v>0</v>
      </c>
      <c r="T200" s="45">
        <v>200</v>
      </c>
    </row>
    <row r="201" spans="1:20" s="14" customFormat="1" ht="14.45" customHeight="1">
      <c r="A201" s="66"/>
      <c r="B201" s="66"/>
      <c r="C201" s="66"/>
      <c r="D201" t="s">
        <v>116</v>
      </c>
      <c r="E201" t="s">
        <v>117</v>
      </c>
      <c r="F201" t="s">
        <v>118</v>
      </c>
      <c r="G201" t="s">
        <v>122</v>
      </c>
      <c r="H201" s="44">
        <v>26.739000000000001</v>
      </c>
      <c r="I201" s="44">
        <v>11.772</v>
      </c>
      <c r="J201" s="44">
        <v>11.055999999999999</v>
      </c>
      <c r="K201" s="44">
        <v>10.725</v>
      </c>
      <c r="L201" s="44">
        <v>10.843999999999999</v>
      </c>
      <c r="M201" s="44">
        <v>11.237</v>
      </c>
      <c r="N201" s="44">
        <v>10.379</v>
      </c>
      <c r="O201" s="44">
        <v>10.590999999999999</v>
      </c>
      <c r="P201" s="44">
        <v>10.722</v>
      </c>
      <c r="Q201" s="44">
        <v>11.339</v>
      </c>
      <c r="R201" s="51">
        <v>125.404</v>
      </c>
      <c r="S201" s="14">
        <v>0</v>
      </c>
      <c r="T201" s="45">
        <v>125.404</v>
      </c>
    </row>
    <row r="202" spans="1:20" s="14" customFormat="1" ht="14.45" customHeight="1">
      <c r="A202" s="66"/>
      <c r="B202" s="66"/>
      <c r="C202" s="66"/>
      <c r="D202" t="s">
        <v>119</v>
      </c>
      <c r="E202" t="s">
        <v>120</v>
      </c>
      <c r="F202" t="s">
        <v>121</v>
      </c>
      <c r="G202" t="s">
        <v>120</v>
      </c>
      <c r="H202" s="44">
        <v>15.803000000000001</v>
      </c>
      <c r="I202" s="44">
        <v>13.382999999999999</v>
      </c>
      <c r="J202" s="44">
        <v>12.414999999999999</v>
      </c>
      <c r="K202" s="44">
        <v>12.340999999999999</v>
      </c>
      <c r="L202" s="44">
        <v>12.504</v>
      </c>
      <c r="M202" s="44">
        <v>12.413</v>
      </c>
      <c r="N202" s="44">
        <v>11.914999999999999</v>
      </c>
      <c r="O202" s="44">
        <v>12.433999999999999</v>
      </c>
      <c r="P202" s="44">
        <v>12.148</v>
      </c>
      <c r="Q202" s="44">
        <v>12.119</v>
      </c>
      <c r="R202" s="51">
        <v>127.47499999999999</v>
      </c>
      <c r="S202" s="14">
        <v>0</v>
      </c>
      <c r="T202" s="45">
        <v>127.47499999999999</v>
      </c>
    </row>
    <row r="203" spans="1:20" s="14" customFormat="1" ht="14.45" customHeight="1">
      <c r="A203" s="66" t="s">
        <v>7</v>
      </c>
      <c r="B203" s="66">
        <v>5</v>
      </c>
      <c r="C203" s="66">
        <v>1</v>
      </c>
      <c r="D203" t="s">
        <v>55</v>
      </c>
      <c r="E203" t="s">
        <v>131</v>
      </c>
      <c r="F203" t="s">
        <v>53</v>
      </c>
      <c r="G203" t="s">
        <v>54</v>
      </c>
      <c r="H203" s="44">
        <v>8.1890000000000001</v>
      </c>
      <c r="I203" s="44">
        <v>5.5049999999999999</v>
      </c>
      <c r="J203" s="44">
        <v>5.7640000000000002</v>
      </c>
      <c r="K203" s="44">
        <v>5.6239999999999997</v>
      </c>
      <c r="L203" s="44">
        <v>5.8310000000000004</v>
      </c>
      <c r="M203" s="44">
        <v>5.6040000000000001</v>
      </c>
      <c r="N203" s="44">
        <v>5.6929999999999996</v>
      </c>
      <c r="O203" s="44">
        <v>5.5679999999999996</v>
      </c>
      <c r="P203" s="44">
        <v>5.492</v>
      </c>
      <c r="Q203" s="44">
        <v>5.9669999999999996</v>
      </c>
      <c r="R203" s="51">
        <v>59.237000000000002</v>
      </c>
      <c r="S203" s="14">
        <v>0</v>
      </c>
      <c r="T203" s="45">
        <v>59.237000000000002</v>
      </c>
    </row>
    <row r="204" spans="1:20" s="14" customFormat="1" ht="14.45" customHeight="1">
      <c r="A204" s="66"/>
      <c r="B204" s="66"/>
      <c r="C204" s="66"/>
      <c r="D204" t="s">
        <v>68</v>
      </c>
      <c r="E204" t="s">
        <v>63</v>
      </c>
      <c r="F204" t="s">
        <v>142</v>
      </c>
      <c r="G204" t="s">
        <v>63</v>
      </c>
      <c r="H204" s="44">
        <v>8.6820000000000004</v>
      </c>
      <c r="I204" s="44">
        <v>5.944</v>
      </c>
      <c r="J204" s="44">
        <v>6.3140000000000001</v>
      </c>
      <c r="K204" s="44">
        <v>6.1</v>
      </c>
      <c r="L204" s="44">
        <v>5.59</v>
      </c>
      <c r="M204" s="44">
        <v>6.3460000000000001</v>
      </c>
      <c r="N204" s="44">
        <v>5.93</v>
      </c>
      <c r="O204" s="44">
        <v>5.4820000000000002</v>
      </c>
      <c r="P204" s="44">
        <v>6.1319999999999997</v>
      </c>
      <c r="Q204" s="44">
        <v>5.665</v>
      </c>
      <c r="R204" s="51">
        <v>62.185000000000002</v>
      </c>
      <c r="S204" s="14">
        <v>0</v>
      </c>
      <c r="T204" s="45">
        <v>62.185000000000002</v>
      </c>
    </row>
    <row r="205" spans="1:20" s="14" customFormat="1" ht="14.45" customHeight="1">
      <c r="A205" s="66"/>
      <c r="B205" s="66"/>
      <c r="C205" s="66"/>
      <c r="D205" t="s">
        <v>177</v>
      </c>
      <c r="E205" t="s">
        <v>178</v>
      </c>
      <c r="F205" t="s">
        <v>45</v>
      </c>
      <c r="G205" t="s">
        <v>44</v>
      </c>
      <c r="H205" s="44">
        <v>9.6329999999999991</v>
      </c>
      <c r="I205" s="44">
        <v>7.258</v>
      </c>
      <c r="J205" s="44">
        <v>6.8630000000000004</v>
      </c>
      <c r="K205" s="44">
        <v>7.274</v>
      </c>
      <c r="L205" s="44">
        <v>6.7850000000000001</v>
      </c>
      <c r="M205" s="44">
        <v>6.6669999999999998</v>
      </c>
      <c r="N205" s="44">
        <v>7.11</v>
      </c>
      <c r="O205" s="44">
        <v>6.6849999999999996</v>
      </c>
      <c r="P205" s="44">
        <v>6.7869999999999999</v>
      </c>
      <c r="Q205" s="44">
        <v>6.5620000000000003</v>
      </c>
      <c r="R205" s="51">
        <v>71.623999999999995</v>
      </c>
      <c r="S205" s="14">
        <v>0</v>
      </c>
      <c r="T205" s="45">
        <v>71.623999999999995</v>
      </c>
    </row>
    <row r="206" spans="1:20" s="14" customFormat="1" ht="14.45" customHeight="1">
      <c r="A206" s="66" t="s">
        <v>7</v>
      </c>
      <c r="B206" s="66">
        <v>5</v>
      </c>
      <c r="C206" s="66">
        <v>2</v>
      </c>
      <c r="D206" t="s">
        <v>140</v>
      </c>
      <c r="E206" t="s">
        <v>141</v>
      </c>
      <c r="F206" t="s">
        <v>61</v>
      </c>
      <c r="G206" t="s">
        <v>158</v>
      </c>
      <c r="H206" s="44">
        <v>8.7240000000000002</v>
      </c>
      <c r="I206" s="44">
        <v>5.8049999999999997</v>
      </c>
      <c r="J206" s="44">
        <v>5.5090000000000003</v>
      </c>
      <c r="K206" s="44">
        <v>5.8259999999999996</v>
      </c>
      <c r="L206" s="44">
        <v>5.7720000000000002</v>
      </c>
      <c r="M206" s="44">
        <v>5.8090000000000002</v>
      </c>
      <c r="N206" s="44">
        <v>6.0640000000000001</v>
      </c>
      <c r="O206" s="44">
        <v>5.74</v>
      </c>
      <c r="P206" s="44">
        <v>6.173</v>
      </c>
      <c r="Q206" s="44">
        <v>5.859</v>
      </c>
      <c r="R206" s="51">
        <v>61.280999999999999</v>
      </c>
      <c r="S206" s="14">
        <v>0</v>
      </c>
      <c r="T206" s="45">
        <v>61.280999999999999</v>
      </c>
    </row>
    <row r="207" spans="1:20" s="14" customFormat="1" ht="14.45" customHeight="1">
      <c r="A207" s="66"/>
      <c r="B207" s="66"/>
      <c r="C207" s="66"/>
      <c r="D207" t="s">
        <v>128</v>
      </c>
      <c r="E207" t="s">
        <v>129</v>
      </c>
      <c r="F207" t="s">
        <v>58</v>
      </c>
      <c r="G207" t="s">
        <v>127</v>
      </c>
      <c r="H207" s="44">
        <v>8.7379999999999995</v>
      </c>
      <c r="I207" s="44">
        <v>6.4370000000000003</v>
      </c>
      <c r="J207" s="44" t="s">
        <v>298</v>
      </c>
      <c r="K207" s="44">
        <v>6.2489999999999997</v>
      </c>
      <c r="L207" s="44" t="s">
        <v>269</v>
      </c>
      <c r="M207" s="44" t="s">
        <v>185</v>
      </c>
      <c r="N207" s="44" t="s">
        <v>185</v>
      </c>
      <c r="O207" s="44" t="s">
        <v>185</v>
      </c>
      <c r="P207" s="44" t="s">
        <v>185</v>
      </c>
      <c r="Q207" s="44" t="s">
        <v>185</v>
      </c>
      <c r="R207" s="50" t="s">
        <v>185</v>
      </c>
      <c r="S207" s="14">
        <v>2</v>
      </c>
      <c r="T207" s="45">
        <v>200</v>
      </c>
    </row>
    <row r="208" spans="1:20" ht="15">
      <c r="A208" s="66"/>
      <c r="B208" s="66"/>
      <c r="C208" s="66"/>
      <c r="D208" t="s">
        <v>40</v>
      </c>
      <c r="E208" t="s">
        <v>40</v>
      </c>
      <c r="F208" t="s">
        <v>41</v>
      </c>
      <c r="G208" t="s">
        <v>41</v>
      </c>
      <c r="H208" s="19" t="s">
        <v>185</v>
      </c>
      <c r="I208" s="19" t="s">
        <v>185</v>
      </c>
      <c r="J208" s="19" t="s">
        <v>185</v>
      </c>
      <c r="K208" s="19" t="s">
        <v>185</v>
      </c>
      <c r="L208" s="19" t="s">
        <v>185</v>
      </c>
      <c r="M208" s="19" t="s">
        <v>185</v>
      </c>
      <c r="N208" s="19" t="s">
        <v>185</v>
      </c>
      <c r="O208" s="19" t="s">
        <v>185</v>
      </c>
      <c r="P208" s="19" t="s">
        <v>185</v>
      </c>
      <c r="Q208" s="19" t="s">
        <v>185</v>
      </c>
      <c r="R208" s="55" t="s">
        <v>185</v>
      </c>
      <c r="S208">
        <v>0</v>
      </c>
      <c r="T208" s="45">
        <v>200</v>
      </c>
    </row>
    <row r="209" spans="1:20" ht="15">
      <c r="A209" s="66" t="s">
        <v>7</v>
      </c>
      <c r="B209" s="66">
        <v>5</v>
      </c>
      <c r="C209" s="66">
        <v>3</v>
      </c>
      <c r="D209" t="s">
        <v>153</v>
      </c>
      <c r="E209" t="s">
        <v>154</v>
      </c>
      <c r="F209" t="s">
        <v>155</v>
      </c>
      <c r="G209" t="s">
        <v>156</v>
      </c>
      <c r="H209" s="19">
        <v>9.5649999999999995</v>
      </c>
      <c r="I209" s="19">
        <v>6.5960000000000001</v>
      </c>
      <c r="J209" s="19">
        <v>6.2380000000000004</v>
      </c>
      <c r="K209" s="19">
        <v>5.6580000000000004</v>
      </c>
      <c r="L209" s="19">
        <v>6.0039999999999996</v>
      </c>
      <c r="M209" s="19">
        <v>5.9390000000000001</v>
      </c>
      <c r="N209" s="19">
        <v>5.6580000000000004</v>
      </c>
      <c r="O209" s="19">
        <v>5.9269999999999996</v>
      </c>
      <c r="P209" s="19">
        <v>5.9329999999999998</v>
      </c>
      <c r="Q209" s="19">
        <v>5.98</v>
      </c>
      <c r="R209" s="54">
        <v>63.497999999999998</v>
      </c>
      <c r="S209">
        <v>0</v>
      </c>
      <c r="T209" s="45">
        <v>63.497999999999998</v>
      </c>
    </row>
    <row r="210" spans="1:20" ht="15">
      <c r="A210" s="66"/>
      <c r="B210" s="66"/>
      <c r="C210" s="66"/>
      <c r="D210" t="s">
        <v>51</v>
      </c>
      <c r="E210" t="s">
        <v>183</v>
      </c>
      <c r="F210" t="s">
        <v>130</v>
      </c>
      <c r="G210" t="s">
        <v>131</v>
      </c>
      <c r="H210" s="19">
        <v>9.125</v>
      </c>
      <c r="I210" s="19">
        <v>6.1</v>
      </c>
      <c r="J210" s="19">
        <v>5.5309999999999997</v>
      </c>
      <c r="K210" s="19">
        <v>5.8440000000000003</v>
      </c>
      <c r="L210" s="19">
        <v>5.7789999999999999</v>
      </c>
      <c r="M210" s="19">
        <v>5.83</v>
      </c>
      <c r="N210" s="19">
        <v>5.8769999999999998</v>
      </c>
      <c r="O210" s="19">
        <v>5.9710000000000001</v>
      </c>
      <c r="P210" s="19">
        <v>5.7060000000000004</v>
      </c>
      <c r="Q210" s="19">
        <v>5.484</v>
      </c>
      <c r="R210" s="54">
        <v>61.247</v>
      </c>
      <c r="S210">
        <v>0</v>
      </c>
      <c r="T210" s="45">
        <v>61.247</v>
      </c>
    </row>
    <row r="211" spans="1:20" ht="15">
      <c r="A211" s="66"/>
      <c r="B211" s="66"/>
      <c r="C211" s="66"/>
      <c r="D211" t="s">
        <v>136</v>
      </c>
      <c r="E211" t="s">
        <v>137</v>
      </c>
      <c r="F211" t="s">
        <v>134</v>
      </c>
      <c r="G211" t="s">
        <v>135</v>
      </c>
      <c r="H211" s="19">
        <v>8.6669999999999998</v>
      </c>
      <c r="I211" s="19">
        <v>5.9930000000000003</v>
      </c>
      <c r="J211" s="19">
        <v>5.69</v>
      </c>
      <c r="K211" s="19">
        <v>5.734</v>
      </c>
      <c r="L211" s="19">
        <v>6.0670000000000002</v>
      </c>
      <c r="M211" s="19">
        <v>5.82</v>
      </c>
      <c r="N211" s="19">
        <v>5.4530000000000003</v>
      </c>
      <c r="O211" s="19">
        <v>5.8280000000000003</v>
      </c>
      <c r="P211" s="19">
        <v>5.57</v>
      </c>
      <c r="Q211" s="19">
        <v>5.7</v>
      </c>
      <c r="R211" s="54">
        <v>60.521999999999998</v>
      </c>
      <c r="S211">
        <v>0</v>
      </c>
      <c r="T211" s="45">
        <v>60.521999999999998</v>
      </c>
    </row>
    <row r="212" spans="1:20" ht="15">
      <c r="A212" s="66" t="s">
        <v>7</v>
      </c>
      <c r="B212" s="66">
        <v>5</v>
      </c>
      <c r="C212" s="66">
        <v>4</v>
      </c>
      <c r="D212" t="s">
        <v>53</v>
      </c>
      <c r="E212" t="s">
        <v>54</v>
      </c>
      <c r="F212" t="s">
        <v>130</v>
      </c>
      <c r="G212" t="s">
        <v>131</v>
      </c>
      <c r="H212" s="19">
        <v>8.1329999999999991</v>
      </c>
      <c r="I212" s="19">
        <v>5.8079999999999998</v>
      </c>
      <c r="J212" s="19">
        <v>5.7</v>
      </c>
      <c r="K212" s="19">
        <v>5.758</v>
      </c>
      <c r="L212" s="19">
        <v>5.7850000000000001</v>
      </c>
      <c r="M212" s="19">
        <v>5.7160000000000002</v>
      </c>
      <c r="N212" s="19">
        <v>6.024</v>
      </c>
      <c r="O212" s="19">
        <v>5.2789999999999999</v>
      </c>
      <c r="P212" s="19">
        <v>5.8150000000000004</v>
      </c>
      <c r="Q212" s="19">
        <v>5.633</v>
      </c>
      <c r="R212" s="54">
        <v>59.651000000000003</v>
      </c>
      <c r="S212">
        <v>0</v>
      </c>
      <c r="T212" s="45">
        <v>59.651000000000003</v>
      </c>
    </row>
    <row r="213" spans="1:20" ht="15">
      <c r="A213" s="66"/>
      <c r="B213" s="66"/>
      <c r="C213" s="66"/>
      <c r="D213" t="s">
        <v>123</v>
      </c>
      <c r="E213" t="s">
        <v>124</v>
      </c>
      <c r="F213" t="s">
        <v>121</v>
      </c>
      <c r="G213" t="s">
        <v>120</v>
      </c>
      <c r="H213" s="19" t="s">
        <v>185</v>
      </c>
      <c r="I213" s="19" t="s">
        <v>185</v>
      </c>
      <c r="J213" s="19" t="s">
        <v>185</v>
      </c>
      <c r="K213" s="19" t="s">
        <v>185</v>
      </c>
      <c r="L213" s="19" t="s">
        <v>185</v>
      </c>
      <c r="M213" s="19" t="s">
        <v>185</v>
      </c>
      <c r="N213" s="19" t="s">
        <v>185</v>
      </c>
      <c r="O213" s="19" t="s">
        <v>185</v>
      </c>
      <c r="P213" s="19" t="s">
        <v>185</v>
      </c>
      <c r="Q213" s="19" t="s">
        <v>185</v>
      </c>
      <c r="R213" s="55" t="s">
        <v>185</v>
      </c>
      <c r="S213">
        <v>0</v>
      </c>
      <c r="T213" s="45">
        <v>200</v>
      </c>
    </row>
    <row r="214" spans="1:20" ht="15">
      <c r="A214" s="66"/>
      <c r="B214" s="66"/>
      <c r="C214" s="66"/>
      <c r="D214" t="s">
        <v>45</v>
      </c>
      <c r="E214" t="s">
        <v>44</v>
      </c>
      <c r="F214" t="s">
        <v>177</v>
      </c>
      <c r="G214" t="s">
        <v>178</v>
      </c>
      <c r="H214" s="19" t="s">
        <v>185</v>
      </c>
      <c r="I214" s="19" t="s">
        <v>185</v>
      </c>
      <c r="J214" s="19" t="s">
        <v>185</v>
      </c>
      <c r="K214" s="19" t="s">
        <v>185</v>
      </c>
      <c r="L214" s="19" t="s">
        <v>185</v>
      </c>
      <c r="M214" s="19" t="s">
        <v>185</v>
      </c>
      <c r="N214" s="19" t="s">
        <v>185</v>
      </c>
      <c r="O214" s="19" t="s">
        <v>185</v>
      </c>
      <c r="P214" s="19" t="s">
        <v>185</v>
      </c>
      <c r="Q214" s="19" t="s">
        <v>185</v>
      </c>
      <c r="R214" s="55" t="s">
        <v>185</v>
      </c>
      <c r="S214">
        <v>0</v>
      </c>
      <c r="T214" s="45">
        <v>200</v>
      </c>
    </row>
    <row r="215" spans="1:20" ht="15">
      <c r="A215" s="66" t="s">
        <v>7</v>
      </c>
      <c r="B215" s="66">
        <v>5</v>
      </c>
      <c r="C215" s="66">
        <v>5</v>
      </c>
      <c r="D215" t="s">
        <v>142</v>
      </c>
      <c r="E215" t="s">
        <v>63</v>
      </c>
      <c r="F215" t="s">
        <v>62</v>
      </c>
      <c r="G215" t="s">
        <v>63</v>
      </c>
      <c r="H215" s="19">
        <v>9.1609999999999996</v>
      </c>
      <c r="I215" s="19">
        <v>6.46</v>
      </c>
      <c r="J215" s="19">
        <v>6.3150000000000004</v>
      </c>
      <c r="K215" s="19">
        <v>5.8310000000000004</v>
      </c>
      <c r="L215" s="19">
        <v>6.1580000000000004</v>
      </c>
      <c r="M215" s="19">
        <v>6.0949999999999998</v>
      </c>
      <c r="N215" s="19">
        <v>5.8840000000000003</v>
      </c>
      <c r="O215" s="19">
        <v>6.0549999999999997</v>
      </c>
      <c r="P215" s="19">
        <v>5.7089999999999996</v>
      </c>
      <c r="Q215" s="19">
        <v>5.8559999999999999</v>
      </c>
      <c r="R215" s="54">
        <v>63.524000000000001</v>
      </c>
      <c r="S215">
        <v>0</v>
      </c>
      <c r="T215" s="45">
        <v>63.524000000000001</v>
      </c>
    </row>
    <row r="216" spans="1:20" ht="15">
      <c r="A216" s="66"/>
      <c r="B216" s="66"/>
      <c r="C216" s="66"/>
      <c r="D216" t="s">
        <v>52</v>
      </c>
      <c r="E216" t="s">
        <v>125</v>
      </c>
      <c r="F216" t="s">
        <v>56</v>
      </c>
      <c r="G216" t="s">
        <v>57</v>
      </c>
      <c r="H216" s="19" t="s">
        <v>185</v>
      </c>
      <c r="I216" s="19" t="s">
        <v>185</v>
      </c>
      <c r="J216" s="19" t="s">
        <v>185</v>
      </c>
      <c r="K216" s="19" t="s">
        <v>185</v>
      </c>
      <c r="L216" s="19" t="s">
        <v>185</v>
      </c>
      <c r="M216" s="19" t="s">
        <v>185</v>
      </c>
      <c r="N216" s="19" t="s">
        <v>185</v>
      </c>
      <c r="O216" s="19" t="s">
        <v>185</v>
      </c>
      <c r="P216" s="19" t="s">
        <v>185</v>
      </c>
      <c r="Q216" s="19" t="s">
        <v>185</v>
      </c>
      <c r="R216" s="55" t="s">
        <v>185</v>
      </c>
      <c r="S216">
        <v>0</v>
      </c>
      <c r="T216" s="45">
        <v>200</v>
      </c>
    </row>
    <row r="217" spans="1:20" ht="15">
      <c r="A217" s="66"/>
      <c r="B217" s="66"/>
      <c r="C217" s="66"/>
      <c r="D217" t="s">
        <v>134</v>
      </c>
      <c r="E217" t="s">
        <v>135</v>
      </c>
      <c r="F217" t="s">
        <v>136</v>
      </c>
      <c r="G217" t="s">
        <v>137</v>
      </c>
      <c r="H217" s="19">
        <v>8.6959999999999997</v>
      </c>
      <c r="I217" s="19">
        <v>5.8819999999999997</v>
      </c>
      <c r="J217" s="19">
        <v>5.8949999999999996</v>
      </c>
      <c r="K217" s="19">
        <v>6.2880000000000003</v>
      </c>
      <c r="L217" s="19">
        <v>5.9710000000000001</v>
      </c>
      <c r="M217" s="19">
        <v>6.1390000000000002</v>
      </c>
      <c r="N217" s="19">
        <v>5.7430000000000003</v>
      </c>
      <c r="O217" s="19">
        <v>5.94</v>
      </c>
      <c r="P217" s="19">
        <v>6.1070000000000002</v>
      </c>
      <c r="Q217" s="19" t="s">
        <v>299</v>
      </c>
      <c r="R217" s="54">
        <v>62.777999999999999</v>
      </c>
      <c r="S217">
        <v>0</v>
      </c>
      <c r="T217" s="45">
        <v>62.777999999999999</v>
      </c>
    </row>
    <row r="218" spans="1:20" ht="15">
      <c r="A218" s="66" t="s">
        <v>7</v>
      </c>
      <c r="B218" s="66">
        <v>5</v>
      </c>
      <c r="C218" s="66">
        <v>6</v>
      </c>
      <c r="D218" t="s">
        <v>56</v>
      </c>
      <c r="E218" t="s">
        <v>57</v>
      </c>
      <c r="F218" t="s">
        <v>52</v>
      </c>
      <c r="G218" t="s">
        <v>125</v>
      </c>
      <c r="H218" s="19">
        <v>9.5050000000000008</v>
      </c>
      <c r="I218" s="19">
        <v>6.2069999999999999</v>
      </c>
      <c r="J218" s="19">
        <v>6.3650000000000002</v>
      </c>
      <c r="K218" s="19">
        <v>6.4690000000000003</v>
      </c>
      <c r="L218" s="19">
        <v>6.181</v>
      </c>
      <c r="M218" s="19">
        <v>6.4690000000000003</v>
      </c>
      <c r="N218" s="19">
        <v>6.03</v>
      </c>
      <c r="O218" s="19">
        <v>6.3819999999999997</v>
      </c>
      <c r="P218" s="19">
        <v>6.0640000000000001</v>
      </c>
      <c r="Q218" s="19">
        <v>6.56</v>
      </c>
      <c r="R218" s="54">
        <v>66.231999999999999</v>
      </c>
      <c r="S218">
        <v>0</v>
      </c>
      <c r="T218" s="45">
        <v>66.231999999999999</v>
      </c>
    </row>
    <row r="219" spans="1:20" ht="15">
      <c r="A219" s="66"/>
      <c r="B219" s="66"/>
      <c r="C219" s="66"/>
      <c r="D219" t="s">
        <v>47</v>
      </c>
      <c r="E219" t="s">
        <v>48</v>
      </c>
      <c r="F219" t="s">
        <v>147</v>
      </c>
      <c r="G219" t="s">
        <v>48</v>
      </c>
      <c r="H219" s="19">
        <v>10.551</v>
      </c>
      <c r="I219" s="19">
        <v>7.3840000000000003</v>
      </c>
      <c r="J219" s="19">
        <v>6.7210000000000001</v>
      </c>
      <c r="K219" s="19">
        <v>6.1310000000000002</v>
      </c>
      <c r="L219" s="19">
        <v>6.5540000000000003</v>
      </c>
      <c r="M219" s="19">
        <v>6.4109999999999996</v>
      </c>
      <c r="N219" s="19">
        <v>6.6139999999999999</v>
      </c>
      <c r="O219" s="19">
        <v>5.9420000000000002</v>
      </c>
      <c r="P219" s="19">
        <v>6.4889999999999999</v>
      </c>
      <c r="Q219" s="19">
        <v>6.2039999999999997</v>
      </c>
      <c r="R219" s="54">
        <v>69.001000000000005</v>
      </c>
      <c r="S219">
        <v>0</v>
      </c>
      <c r="T219" s="45">
        <v>69.001000000000005</v>
      </c>
    </row>
    <row r="220" spans="1:20" ht="15">
      <c r="A220" s="66"/>
      <c r="B220" s="66"/>
      <c r="C220" s="66"/>
      <c r="D220" t="s">
        <v>60</v>
      </c>
      <c r="E220" t="s">
        <v>146</v>
      </c>
      <c r="F220" t="s">
        <v>69</v>
      </c>
      <c r="G220" t="s">
        <v>70</v>
      </c>
      <c r="H220" s="19">
        <v>9.077</v>
      </c>
      <c r="I220" s="19">
        <v>5.9530000000000003</v>
      </c>
      <c r="J220" s="19">
        <v>6.12</v>
      </c>
      <c r="K220" s="19">
        <v>6.2930000000000001</v>
      </c>
      <c r="L220" s="19">
        <v>6.242</v>
      </c>
      <c r="M220" s="19">
        <v>6.4429999999999996</v>
      </c>
      <c r="N220" s="19">
        <v>5.9279999999999999</v>
      </c>
      <c r="O220" s="19">
        <v>6.1970000000000001</v>
      </c>
      <c r="P220" s="19">
        <v>6.6219999999999999</v>
      </c>
      <c r="Q220" s="19">
        <v>5.8970000000000002</v>
      </c>
      <c r="R220" s="54">
        <v>64.772000000000006</v>
      </c>
      <c r="S220">
        <v>0</v>
      </c>
      <c r="T220" s="45">
        <v>64.772000000000006</v>
      </c>
    </row>
    <row r="221" spans="1:20" ht="15">
      <c r="A221" s="66" t="s">
        <v>7</v>
      </c>
      <c r="B221" s="66">
        <v>5</v>
      </c>
      <c r="C221" s="66">
        <v>7</v>
      </c>
      <c r="D221" t="s">
        <v>132</v>
      </c>
      <c r="E221" t="s">
        <v>133</v>
      </c>
      <c r="F221" t="s">
        <v>160</v>
      </c>
      <c r="G221" t="s">
        <v>159</v>
      </c>
      <c r="H221" s="19">
        <v>10.098000000000001</v>
      </c>
      <c r="I221" s="19">
        <v>6.19</v>
      </c>
      <c r="J221" s="19">
        <v>7.5529999999999999</v>
      </c>
      <c r="K221" s="19">
        <v>6.7679999999999998</v>
      </c>
      <c r="L221" s="19">
        <v>6.2480000000000002</v>
      </c>
      <c r="M221" s="19">
        <v>7.7539999999999996</v>
      </c>
      <c r="N221" s="19">
        <v>6.6</v>
      </c>
      <c r="O221" s="19">
        <v>6.41</v>
      </c>
      <c r="P221" s="19">
        <v>6.4630000000000001</v>
      </c>
      <c r="Q221" s="19">
        <v>6.944</v>
      </c>
      <c r="R221" s="54">
        <v>71.028000000000006</v>
      </c>
      <c r="S221">
        <v>0</v>
      </c>
      <c r="T221" s="45">
        <v>71.028000000000006</v>
      </c>
    </row>
    <row r="222" spans="1:20" ht="15">
      <c r="A222" s="66"/>
      <c r="B222" s="66"/>
      <c r="C222" s="66"/>
      <c r="D222" t="s">
        <v>50</v>
      </c>
      <c r="E222" t="s">
        <v>139</v>
      </c>
      <c r="F222" t="s">
        <v>49</v>
      </c>
      <c r="G222" t="s">
        <v>148</v>
      </c>
      <c r="H222" s="19">
        <v>15.467000000000001</v>
      </c>
      <c r="I222" s="19">
        <v>6.6189999999999998</v>
      </c>
      <c r="J222" s="19" t="s">
        <v>185</v>
      </c>
      <c r="K222" s="19" t="s">
        <v>185</v>
      </c>
      <c r="L222" s="19" t="s">
        <v>185</v>
      </c>
      <c r="M222" s="19" t="s">
        <v>185</v>
      </c>
      <c r="N222" s="19" t="s">
        <v>185</v>
      </c>
      <c r="O222" s="19" t="s">
        <v>185</v>
      </c>
      <c r="P222" s="19" t="s">
        <v>185</v>
      </c>
      <c r="Q222" s="19" t="s">
        <v>185</v>
      </c>
      <c r="R222" s="55" t="s">
        <v>185</v>
      </c>
      <c r="S222">
        <v>0</v>
      </c>
      <c r="T222" s="45">
        <v>200</v>
      </c>
    </row>
    <row r="223" spans="1:20" ht="15">
      <c r="A223" s="66"/>
      <c r="B223" s="66"/>
      <c r="C223" s="66"/>
      <c r="D223" t="s">
        <v>61</v>
      </c>
      <c r="E223" t="s">
        <v>158</v>
      </c>
      <c r="F223" t="s">
        <v>140</v>
      </c>
      <c r="G223" t="s">
        <v>141</v>
      </c>
      <c r="H223" s="19">
        <v>8.0559999999999992</v>
      </c>
      <c r="I223" s="19">
        <v>6.0620000000000003</v>
      </c>
      <c r="J223" s="19">
        <v>5.6219999999999999</v>
      </c>
      <c r="K223" s="19">
        <v>5.2510000000000003</v>
      </c>
      <c r="L223" s="19">
        <v>5.4320000000000004</v>
      </c>
      <c r="M223" s="19">
        <v>5.8070000000000004</v>
      </c>
      <c r="N223" s="19">
        <v>5.6390000000000002</v>
      </c>
      <c r="O223" s="19">
        <v>5.6870000000000003</v>
      </c>
      <c r="P223" s="19">
        <v>5.94</v>
      </c>
      <c r="Q223" s="19" t="s">
        <v>307</v>
      </c>
      <c r="R223" s="54">
        <v>59.033000000000001</v>
      </c>
      <c r="S223">
        <v>0</v>
      </c>
      <c r="T223" s="45">
        <v>59.033000000000001</v>
      </c>
    </row>
    <row r="224" spans="1:20" ht="15">
      <c r="A224" s="66" t="s">
        <v>7</v>
      </c>
      <c r="B224" s="66">
        <v>5</v>
      </c>
      <c r="C224" s="66">
        <v>8</v>
      </c>
      <c r="D224" t="s">
        <v>126</v>
      </c>
      <c r="E224" t="s">
        <v>127</v>
      </c>
      <c r="F224" t="s">
        <v>58</v>
      </c>
      <c r="G224" t="s">
        <v>127</v>
      </c>
      <c r="H224" s="19">
        <v>8.7420000000000009</v>
      </c>
      <c r="I224" s="19">
        <v>5.6289999999999996</v>
      </c>
      <c r="J224" s="19">
        <v>5.7519999999999998</v>
      </c>
      <c r="K224" s="19">
        <v>5.4850000000000003</v>
      </c>
      <c r="L224" s="19">
        <v>5.4409999999999998</v>
      </c>
      <c r="M224" s="19">
        <v>5.7229999999999999</v>
      </c>
      <c r="N224" s="19">
        <v>5.9349999999999996</v>
      </c>
      <c r="O224" s="19">
        <v>6.0709999999999997</v>
      </c>
      <c r="P224" s="19">
        <v>6.2039999999999997</v>
      </c>
      <c r="Q224" s="19">
        <v>11.856</v>
      </c>
      <c r="R224" s="54">
        <v>66.837999999999994</v>
      </c>
      <c r="S224">
        <v>0</v>
      </c>
      <c r="T224" s="45">
        <v>66.837999999999994</v>
      </c>
    </row>
    <row r="225" spans="1:20" ht="15">
      <c r="A225" s="66"/>
      <c r="B225" s="66"/>
      <c r="C225" s="66"/>
      <c r="D225" t="s">
        <v>43</v>
      </c>
      <c r="E225" t="s">
        <v>46</v>
      </c>
      <c r="F225" t="s">
        <v>145</v>
      </c>
      <c r="G225" t="s">
        <v>46</v>
      </c>
      <c r="H225" s="19">
        <v>8.3870000000000005</v>
      </c>
      <c r="I225" s="19">
        <v>6.0629999999999997</v>
      </c>
      <c r="J225" s="19">
        <v>6.1719999999999997</v>
      </c>
      <c r="K225" s="19">
        <v>5.6639999999999997</v>
      </c>
      <c r="L225" s="19">
        <v>5.86</v>
      </c>
      <c r="M225" s="19">
        <v>5.8250000000000002</v>
      </c>
      <c r="N225" s="19">
        <v>5.8040000000000003</v>
      </c>
      <c r="O225" s="19">
        <v>5.4850000000000003</v>
      </c>
      <c r="P225" s="19" t="s">
        <v>300</v>
      </c>
      <c r="Q225" s="19">
        <v>6.109</v>
      </c>
      <c r="R225" s="54">
        <v>61.454000000000001</v>
      </c>
      <c r="S225">
        <v>1</v>
      </c>
      <c r="T225" s="45">
        <v>67.599400000000003</v>
      </c>
    </row>
    <row r="226" spans="1:20" ht="15">
      <c r="A226" s="66"/>
      <c r="B226" s="66"/>
      <c r="C226" s="66"/>
      <c r="D226" t="s">
        <v>64</v>
      </c>
      <c r="E226" t="s">
        <v>65</v>
      </c>
      <c r="F226" t="s">
        <v>143</v>
      </c>
      <c r="G226" t="s">
        <v>144</v>
      </c>
      <c r="H226" s="19">
        <v>8.6289999999999996</v>
      </c>
      <c r="I226" s="19">
        <v>6.2869999999999999</v>
      </c>
      <c r="J226" s="19">
        <v>5.5679999999999996</v>
      </c>
      <c r="K226" s="19">
        <v>5.5140000000000002</v>
      </c>
      <c r="L226" s="19">
        <v>5.8259999999999996</v>
      </c>
      <c r="M226" s="19">
        <v>6.1189999999999998</v>
      </c>
      <c r="N226" s="19">
        <v>5.5179999999999998</v>
      </c>
      <c r="O226" s="19">
        <v>5.7510000000000003</v>
      </c>
      <c r="P226" s="19">
        <v>5.76</v>
      </c>
      <c r="Q226" s="19">
        <v>5.657</v>
      </c>
      <c r="R226" s="54">
        <v>60.628999999999998</v>
      </c>
      <c r="S226">
        <v>0</v>
      </c>
      <c r="T226" s="45">
        <v>60.628999999999998</v>
      </c>
    </row>
    <row r="227" spans="1:20" ht="15">
      <c r="A227" s="66" t="s">
        <v>7</v>
      </c>
      <c r="B227" s="66">
        <v>5</v>
      </c>
      <c r="C227" s="66">
        <v>9</v>
      </c>
      <c r="D227" t="s">
        <v>62</v>
      </c>
      <c r="E227" t="s">
        <v>63</v>
      </c>
      <c r="F227" t="s">
        <v>68</v>
      </c>
      <c r="G227" t="s">
        <v>63</v>
      </c>
      <c r="H227" s="19">
        <v>9.1180000000000003</v>
      </c>
      <c r="I227" s="19">
        <v>6.2190000000000003</v>
      </c>
      <c r="J227" s="19">
        <v>5.6109999999999998</v>
      </c>
      <c r="K227" s="19">
        <v>6.1360000000000001</v>
      </c>
      <c r="L227" s="19">
        <v>6.0049999999999999</v>
      </c>
      <c r="M227" s="19">
        <v>5.835</v>
      </c>
      <c r="N227" s="19">
        <v>6.16</v>
      </c>
      <c r="O227" s="19">
        <v>5.6619999999999999</v>
      </c>
      <c r="P227" s="19" t="s">
        <v>304</v>
      </c>
      <c r="Q227" s="19">
        <v>5.819</v>
      </c>
      <c r="R227" s="54">
        <v>62.295000000000002</v>
      </c>
      <c r="S227">
        <v>0</v>
      </c>
      <c r="T227" s="40">
        <v>62.295000000000002</v>
      </c>
    </row>
    <row r="228" spans="1:20" ht="15">
      <c r="A228" s="66"/>
      <c r="B228" s="66"/>
      <c r="C228" s="66"/>
      <c r="D228" t="s">
        <v>140</v>
      </c>
      <c r="E228" t="s">
        <v>151</v>
      </c>
      <c r="F228" t="s">
        <v>72</v>
      </c>
      <c r="G228" t="s">
        <v>152</v>
      </c>
      <c r="H228" s="19">
        <v>8.0169999999999995</v>
      </c>
      <c r="I228" s="19">
        <v>5.9450000000000003</v>
      </c>
      <c r="J228" s="19" t="s">
        <v>301</v>
      </c>
      <c r="K228" s="19">
        <v>5.7</v>
      </c>
      <c r="L228" s="19">
        <v>5.7050000000000001</v>
      </c>
      <c r="M228" s="19">
        <v>6.1180000000000003</v>
      </c>
      <c r="N228" s="19">
        <v>5.9530000000000003</v>
      </c>
      <c r="O228" s="19">
        <v>6.056</v>
      </c>
      <c r="P228" s="19">
        <v>5.8780000000000001</v>
      </c>
      <c r="Q228" s="19">
        <v>6.3650000000000002</v>
      </c>
      <c r="R228" s="54">
        <v>61.701999999999998</v>
      </c>
      <c r="S228">
        <v>1</v>
      </c>
      <c r="T228" s="45">
        <v>67.872200000000007</v>
      </c>
    </row>
    <row r="229" spans="1:20" ht="15">
      <c r="A229" s="66"/>
      <c r="B229" s="66"/>
      <c r="C229" s="66"/>
      <c r="D229" t="s">
        <v>157</v>
      </c>
      <c r="E229" t="s">
        <v>184</v>
      </c>
      <c r="F229" t="s">
        <v>155</v>
      </c>
      <c r="G229" t="s">
        <v>156</v>
      </c>
      <c r="H229" s="19">
        <v>10.135999999999999</v>
      </c>
      <c r="I229" s="19">
        <v>6.1459999999999999</v>
      </c>
      <c r="J229" s="19">
        <v>6.4459999999999997</v>
      </c>
      <c r="K229" s="19">
        <v>6.4539999999999997</v>
      </c>
      <c r="L229" s="19">
        <v>6.5220000000000002</v>
      </c>
      <c r="M229" s="19">
        <v>6.077</v>
      </c>
      <c r="N229" s="19">
        <v>5.9059999999999997</v>
      </c>
      <c r="O229" s="19">
        <v>6.0220000000000002</v>
      </c>
      <c r="P229" s="19">
        <v>6.2949999999999999</v>
      </c>
      <c r="Q229" s="19">
        <v>6.077</v>
      </c>
      <c r="R229" s="40">
        <v>66.081000000000003</v>
      </c>
      <c r="S229">
        <v>0</v>
      </c>
      <c r="T229" s="45">
        <v>66.081000000000003</v>
      </c>
    </row>
    <row r="230" spans="1:20" ht="15">
      <c r="A230" s="66" t="s">
        <v>7</v>
      </c>
      <c r="B230" s="66">
        <v>5</v>
      </c>
      <c r="C230" s="66">
        <v>10</v>
      </c>
      <c r="D230" t="s">
        <v>149</v>
      </c>
      <c r="E230" t="s">
        <v>150</v>
      </c>
      <c r="F230" t="s">
        <v>160</v>
      </c>
      <c r="G230" t="s">
        <v>159</v>
      </c>
      <c r="H230" s="19">
        <v>9.4220000000000006</v>
      </c>
      <c r="I230" s="19">
        <v>6.173</v>
      </c>
      <c r="J230" s="19" t="s">
        <v>302</v>
      </c>
      <c r="K230" s="19">
        <v>5.82</v>
      </c>
      <c r="L230" s="19">
        <v>5.5940000000000003</v>
      </c>
      <c r="M230" s="19">
        <v>5.5549999999999997</v>
      </c>
      <c r="N230" s="19">
        <v>5.5670000000000002</v>
      </c>
      <c r="O230" s="19">
        <v>6.2709999999999999</v>
      </c>
      <c r="P230" s="19">
        <v>6.0270000000000001</v>
      </c>
      <c r="Q230" s="19">
        <v>6.3250000000000002</v>
      </c>
      <c r="R230" s="40">
        <v>62.956000000000003</v>
      </c>
      <c r="S230">
        <v>1</v>
      </c>
      <c r="T230" s="45">
        <v>69.25160000000001</v>
      </c>
    </row>
    <row r="231" spans="1:20" ht="15">
      <c r="A231" s="66"/>
      <c r="B231" s="66"/>
      <c r="C231" s="66"/>
      <c r="D231" t="s">
        <v>121</v>
      </c>
      <c r="E231" t="s">
        <v>120</v>
      </c>
      <c r="F231" t="s">
        <v>119</v>
      </c>
      <c r="G231" t="s">
        <v>120</v>
      </c>
      <c r="H231" s="19">
        <v>8.7799999999999994</v>
      </c>
      <c r="I231" s="19">
        <v>6.048</v>
      </c>
      <c r="J231" s="19">
        <v>5.9320000000000004</v>
      </c>
      <c r="K231" s="19">
        <v>6.1280000000000001</v>
      </c>
      <c r="L231" s="19">
        <v>5.5869999999999997</v>
      </c>
      <c r="M231" s="19">
        <v>5.7039999999999997</v>
      </c>
      <c r="N231" s="19">
        <v>5.5209999999999999</v>
      </c>
      <c r="O231" s="19">
        <v>5.7370000000000001</v>
      </c>
      <c r="P231" s="19">
        <v>5.7519999999999998</v>
      </c>
      <c r="Q231" s="19" t="s">
        <v>303</v>
      </c>
      <c r="R231" s="40">
        <v>60.95</v>
      </c>
      <c r="S231">
        <v>0</v>
      </c>
      <c r="T231" s="45">
        <v>60.95</v>
      </c>
    </row>
    <row r="232" spans="1:20" ht="15">
      <c r="A232" s="66"/>
      <c r="B232" s="66"/>
      <c r="C232" s="66"/>
      <c r="D232" t="s">
        <v>66</v>
      </c>
      <c r="E232" t="s">
        <v>67</v>
      </c>
      <c r="F232" t="s">
        <v>43</v>
      </c>
      <c r="G232" t="s">
        <v>46</v>
      </c>
      <c r="H232" s="19">
        <v>8.3620000000000001</v>
      </c>
      <c r="I232" s="19">
        <v>5.5019999999999998</v>
      </c>
      <c r="J232" s="19">
        <v>5.6390000000000002</v>
      </c>
      <c r="K232" s="19">
        <v>5.9059999999999997</v>
      </c>
      <c r="L232" s="19">
        <v>5.5039999999999996</v>
      </c>
      <c r="M232" s="19">
        <v>5.4909999999999997</v>
      </c>
      <c r="N232" s="19">
        <v>5.4009999999999998</v>
      </c>
      <c r="O232" s="19">
        <v>5.7169999999999996</v>
      </c>
      <c r="P232" s="19">
        <v>5.5529999999999999</v>
      </c>
      <c r="Q232" s="19">
        <v>5.74</v>
      </c>
      <c r="R232" s="40">
        <v>58.814999999999998</v>
      </c>
      <c r="S232">
        <v>0</v>
      </c>
      <c r="T232" s="45">
        <v>58.814999999999998</v>
      </c>
    </row>
    <row r="233" spans="1:20" ht="15">
      <c r="A233" s="66" t="s">
        <v>7</v>
      </c>
      <c r="B233" s="66">
        <v>5</v>
      </c>
      <c r="C233" s="66">
        <v>11</v>
      </c>
      <c r="D233" t="s">
        <v>59</v>
      </c>
      <c r="E233" t="s">
        <v>120</v>
      </c>
      <c r="F233" t="s">
        <v>119</v>
      </c>
      <c r="G233" t="s">
        <v>120</v>
      </c>
      <c r="H233" s="19">
        <v>9.6129999999999995</v>
      </c>
      <c r="I233" s="19">
        <v>5.9050000000000002</v>
      </c>
      <c r="J233" s="19">
        <v>5.8230000000000004</v>
      </c>
      <c r="K233" s="19">
        <v>6.0140000000000002</v>
      </c>
      <c r="L233" s="19" t="s">
        <v>305</v>
      </c>
      <c r="M233" s="19">
        <v>5.9359999999999999</v>
      </c>
      <c r="N233" s="19">
        <v>6.1269999999999998</v>
      </c>
      <c r="O233" s="19" t="s">
        <v>186</v>
      </c>
      <c r="P233" s="19" t="s">
        <v>185</v>
      </c>
      <c r="Q233" s="19" t="s">
        <v>185</v>
      </c>
      <c r="R233" s="40" t="s">
        <v>185</v>
      </c>
      <c r="S233">
        <v>2</v>
      </c>
      <c r="T233" s="45">
        <v>200</v>
      </c>
    </row>
    <row r="234" spans="1:20" ht="15">
      <c r="A234" s="66"/>
      <c r="B234" s="66"/>
      <c r="C234" s="66"/>
      <c r="D234" t="s">
        <v>134</v>
      </c>
      <c r="E234" t="s">
        <v>138</v>
      </c>
      <c r="F234" t="s">
        <v>134</v>
      </c>
      <c r="G234" t="s">
        <v>135</v>
      </c>
      <c r="H234" s="19">
        <v>9.0169999999999995</v>
      </c>
      <c r="I234" s="19">
        <v>6.6079999999999997</v>
      </c>
      <c r="J234" s="19">
        <v>7.077</v>
      </c>
      <c r="K234" s="19">
        <v>5.867</v>
      </c>
      <c r="L234" s="19">
        <v>6.5890000000000004</v>
      </c>
      <c r="M234" s="19">
        <v>6.2709999999999999</v>
      </c>
      <c r="N234" s="19">
        <v>6.407</v>
      </c>
      <c r="O234" s="19">
        <v>5.6680000000000001</v>
      </c>
      <c r="P234" s="19">
        <v>6.9770000000000003</v>
      </c>
      <c r="Q234" s="19">
        <v>6.7489999999999997</v>
      </c>
      <c r="R234" s="40">
        <v>67.23</v>
      </c>
      <c r="S234">
        <v>0</v>
      </c>
      <c r="T234" s="45">
        <v>67.23</v>
      </c>
    </row>
    <row r="235" spans="1:20" ht="15">
      <c r="A235" s="66"/>
      <c r="B235" s="66"/>
      <c r="C235" s="66"/>
      <c r="D235" t="s">
        <v>49</v>
      </c>
      <c r="E235" t="s">
        <v>148</v>
      </c>
      <c r="F235" t="s">
        <v>52</v>
      </c>
      <c r="G235" t="s">
        <v>125</v>
      </c>
      <c r="H235" s="19">
        <v>10.063000000000001</v>
      </c>
      <c r="I235" s="19">
        <v>5.9509999999999996</v>
      </c>
      <c r="J235" s="19" t="s">
        <v>306</v>
      </c>
      <c r="K235" s="19">
        <v>5.7590000000000003</v>
      </c>
      <c r="L235" s="19">
        <v>5.8860000000000001</v>
      </c>
      <c r="M235" s="19">
        <v>5.6289999999999996</v>
      </c>
      <c r="N235" s="19" t="s">
        <v>186</v>
      </c>
      <c r="O235" s="19" t="s">
        <v>185</v>
      </c>
      <c r="P235" s="19" t="s">
        <v>185</v>
      </c>
      <c r="Q235" s="19" t="s">
        <v>185</v>
      </c>
      <c r="R235" s="40" t="s">
        <v>185</v>
      </c>
      <c r="S235">
        <v>2</v>
      </c>
      <c r="T235" s="45">
        <v>200</v>
      </c>
    </row>
    <row r="236" spans="1:20" ht="15">
      <c r="A236" s="66" t="s">
        <v>31</v>
      </c>
      <c r="B236" s="66">
        <v>5</v>
      </c>
      <c r="C236" s="66">
        <v>1</v>
      </c>
      <c r="D236" t="s">
        <v>59</v>
      </c>
      <c r="E236" t="s">
        <v>120</v>
      </c>
      <c r="F236" t="s">
        <v>119</v>
      </c>
      <c r="G236" t="s">
        <v>120</v>
      </c>
      <c r="H236" s="19">
        <v>10.115</v>
      </c>
      <c r="I236" s="19">
        <v>6.4749999999999996</v>
      </c>
      <c r="J236" s="19">
        <v>6.1420000000000003</v>
      </c>
      <c r="K236" s="19">
        <v>6.09</v>
      </c>
      <c r="L236" s="19">
        <v>5.89</v>
      </c>
      <c r="M236" s="19">
        <v>6.1920000000000002</v>
      </c>
      <c r="N236" s="19">
        <v>5.9429999999999996</v>
      </c>
      <c r="O236" s="19">
        <v>5.899</v>
      </c>
      <c r="P236" s="19">
        <v>5.6269999999999998</v>
      </c>
      <c r="Q236" s="19">
        <v>6.5090000000000003</v>
      </c>
      <c r="R236" s="40">
        <v>64.882000000000005</v>
      </c>
      <c r="S236">
        <v>0</v>
      </c>
      <c r="T236" s="45">
        <v>64.882000000000005</v>
      </c>
    </row>
    <row r="237" spans="1:20" ht="15">
      <c r="A237" s="66"/>
      <c r="B237" s="66"/>
      <c r="C237" s="66"/>
      <c r="D237" t="s">
        <v>140</v>
      </c>
      <c r="E237" t="s">
        <v>141</v>
      </c>
      <c r="F237" t="s">
        <v>61</v>
      </c>
      <c r="G237" t="s">
        <v>158</v>
      </c>
      <c r="H237" s="19" t="s">
        <v>185</v>
      </c>
      <c r="I237" s="19" t="s">
        <v>185</v>
      </c>
      <c r="J237" s="19" t="s">
        <v>185</v>
      </c>
      <c r="K237" s="19" t="s">
        <v>185</v>
      </c>
      <c r="L237" s="19" t="s">
        <v>185</v>
      </c>
      <c r="M237" s="19" t="s">
        <v>185</v>
      </c>
      <c r="N237" s="19" t="s">
        <v>185</v>
      </c>
      <c r="O237" s="19" t="s">
        <v>185</v>
      </c>
      <c r="P237" s="19" t="s">
        <v>185</v>
      </c>
      <c r="Q237" s="19" t="s">
        <v>185</v>
      </c>
      <c r="R237" s="40" t="s">
        <v>185</v>
      </c>
      <c r="S237">
        <v>0</v>
      </c>
      <c r="T237" s="45">
        <v>200</v>
      </c>
    </row>
    <row r="238" spans="1:20" ht="15">
      <c r="A238" s="66"/>
      <c r="B238" s="66"/>
      <c r="C238" s="66"/>
      <c r="D238" t="s">
        <v>50</v>
      </c>
      <c r="E238" t="s">
        <v>139</v>
      </c>
      <c r="F238" t="s">
        <v>49</v>
      </c>
      <c r="G238" t="s">
        <v>148</v>
      </c>
      <c r="H238" s="19" t="s">
        <v>185</v>
      </c>
      <c r="I238" s="19" t="s">
        <v>185</v>
      </c>
      <c r="J238" s="19" t="s">
        <v>185</v>
      </c>
      <c r="K238" s="19" t="s">
        <v>185</v>
      </c>
      <c r="L238" s="19" t="s">
        <v>185</v>
      </c>
      <c r="M238" s="19" t="s">
        <v>185</v>
      </c>
      <c r="N238" s="19" t="s">
        <v>185</v>
      </c>
      <c r="O238" s="19" t="s">
        <v>185</v>
      </c>
      <c r="P238" s="19" t="s">
        <v>185</v>
      </c>
      <c r="Q238" s="19" t="s">
        <v>185</v>
      </c>
      <c r="R238" s="40" t="s">
        <v>185</v>
      </c>
      <c r="S238">
        <v>0</v>
      </c>
      <c r="T238" s="45">
        <v>200</v>
      </c>
    </row>
    <row r="239" spans="1:20" ht="15">
      <c r="A239" s="66" t="s">
        <v>31</v>
      </c>
      <c r="B239" s="66">
        <v>5</v>
      </c>
      <c r="C239" s="66">
        <v>2</v>
      </c>
      <c r="D239" t="s">
        <v>40</v>
      </c>
      <c r="E239" t="s">
        <v>40</v>
      </c>
      <c r="F239" t="s">
        <v>41</v>
      </c>
      <c r="G239" t="s">
        <v>41</v>
      </c>
      <c r="H239" s="19" t="s">
        <v>185</v>
      </c>
      <c r="I239" s="19" t="s">
        <v>185</v>
      </c>
      <c r="J239" s="19" t="s">
        <v>185</v>
      </c>
      <c r="K239" s="19" t="s">
        <v>185</v>
      </c>
      <c r="L239" s="19" t="s">
        <v>185</v>
      </c>
      <c r="M239" s="19" t="s">
        <v>185</v>
      </c>
      <c r="N239" s="19" t="s">
        <v>185</v>
      </c>
      <c r="O239" s="19" t="s">
        <v>185</v>
      </c>
      <c r="P239" s="19" t="s">
        <v>185</v>
      </c>
      <c r="Q239" s="19" t="s">
        <v>185</v>
      </c>
      <c r="R239" s="40" t="s">
        <v>185</v>
      </c>
      <c r="S239">
        <v>0</v>
      </c>
      <c r="T239" s="45">
        <v>200</v>
      </c>
    </row>
    <row r="240" spans="1:20" ht="15">
      <c r="A240" s="66"/>
      <c r="B240" s="66"/>
      <c r="C240" s="66"/>
      <c r="D240" t="s">
        <v>69</v>
      </c>
      <c r="E240" t="s">
        <v>70</v>
      </c>
      <c r="F240" t="s">
        <v>64</v>
      </c>
      <c r="G240" t="s">
        <v>164</v>
      </c>
      <c r="H240" s="19">
        <v>9.23</v>
      </c>
      <c r="I240" s="19">
        <v>5.51</v>
      </c>
      <c r="J240" s="19">
        <v>5.2519999999999998</v>
      </c>
      <c r="K240" s="19">
        <v>5.4180000000000001</v>
      </c>
      <c r="L240" s="19">
        <v>5.1260000000000003</v>
      </c>
      <c r="M240" s="19">
        <v>5.548</v>
      </c>
      <c r="N240" s="19">
        <v>5.4809999999999999</v>
      </c>
      <c r="O240" s="19">
        <v>5.3780000000000001</v>
      </c>
      <c r="P240" s="19">
        <v>5.4160000000000004</v>
      </c>
      <c r="Q240" s="19">
        <v>5.7</v>
      </c>
      <c r="R240" s="40">
        <v>58.058999999999997</v>
      </c>
      <c r="S240">
        <v>0</v>
      </c>
      <c r="T240" s="45">
        <v>58.058999999999997</v>
      </c>
    </row>
    <row r="241" spans="1:20" ht="15">
      <c r="A241" s="66"/>
      <c r="B241" s="66"/>
      <c r="C241" s="66"/>
      <c r="D241" t="s">
        <v>73</v>
      </c>
      <c r="E241" t="s">
        <v>161</v>
      </c>
      <c r="F241" t="s">
        <v>139</v>
      </c>
      <c r="G241" t="s">
        <v>50</v>
      </c>
      <c r="H241" s="19" t="s">
        <v>185</v>
      </c>
      <c r="I241" s="19" t="s">
        <v>185</v>
      </c>
      <c r="J241" s="19" t="s">
        <v>185</v>
      </c>
      <c r="K241" s="19" t="s">
        <v>185</v>
      </c>
      <c r="L241" s="19" t="s">
        <v>185</v>
      </c>
      <c r="M241" s="19" t="s">
        <v>185</v>
      </c>
      <c r="N241" s="19" t="s">
        <v>185</v>
      </c>
      <c r="O241" s="19" t="s">
        <v>185</v>
      </c>
      <c r="P241" s="19" t="s">
        <v>185</v>
      </c>
      <c r="Q241" s="19" t="s">
        <v>185</v>
      </c>
      <c r="R241" s="40" t="s">
        <v>185</v>
      </c>
      <c r="S241">
        <v>0</v>
      </c>
      <c r="T241" s="45">
        <v>200</v>
      </c>
    </row>
    <row r="242" spans="1:20" ht="15">
      <c r="A242" s="66" t="s">
        <v>31</v>
      </c>
      <c r="B242" s="66">
        <v>5</v>
      </c>
      <c r="C242" s="66">
        <v>3</v>
      </c>
      <c r="D242" t="s">
        <v>72</v>
      </c>
      <c r="E242" t="s">
        <v>152</v>
      </c>
      <c r="F242" t="s">
        <v>165</v>
      </c>
      <c r="G242" t="s">
        <v>152</v>
      </c>
      <c r="H242" s="19">
        <v>8.8859999999999992</v>
      </c>
      <c r="I242" s="19">
        <v>5.702</v>
      </c>
      <c r="J242" s="19">
        <v>5.7489999999999997</v>
      </c>
      <c r="K242" s="19">
        <v>5.5439999999999996</v>
      </c>
      <c r="L242" s="19">
        <v>5.4870000000000001</v>
      </c>
      <c r="M242" s="19">
        <v>5.5369999999999999</v>
      </c>
      <c r="N242" s="19">
        <v>5.508</v>
      </c>
      <c r="O242" s="19">
        <v>5.468</v>
      </c>
      <c r="P242" s="19">
        <v>5.3680000000000003</v>
      </c>
      <c r="Q242" s="19">
        <v>5.3280000000000003</v>
      </c>
      <c r="R242" s="40">
        <v>58.576999999999998</v>
      </c>
      <c r="S242">
        <v>0</v>
      </c>
      <c r="T242" s="40">
        <v>58.576999999999998</v>
      </c>
    </row>
    <row r="243" spans="1:20" ht="15">
      <c r="A243" s="66"/>
      <c r="B243" s="66"/>
      <c r="C243" s="66"/>
      <c r="D243" t="s">
        <v>52</v>
      </c>
      <c r="E243" t="s">
        <v>125</v>
      </c>
      <c r="F243" t="s">
        <v>56</v>
      </c>
      <c r="G243" t="s">
        <v>57</v>
      </c>
      <c r="H243" s="19">
        <v>9.1649999999999991</v>
      </c>
      <c r="I243" s="19">
        <v>5.734</v>
      </c>
      <c r="J243" s="19">
        <v>6.2190000000000003</v>
      </c>
      <c r="K243" s="19">
        <v>6.0789999999999997</v>
      </c>
      <c r="L243" s="19">
        <v>6.03</v>
      </c>
      <c r="M243" s="19">
        <v>6.0579999999999998</v>
      </c>
      <c r="N243" s="19">
        <v>5.7359999999999998</v>
      </c>
      <c r="O243" s="19">
        <v>5.71</v>
      </c>
      <c r="P243" s="19">
        <v>5.6740000000000004</v>
      </c>
      <c r="Q243" s="19">
        <v>5.5019999999999998</v>
      </c>
      <c r="R243" s="40">
        <v>61.906999999999996</v>
      </c>
      <c r="S243">
        <v>0</v>
      </c>
      <c r="T243" s="40">
        <v>61.906999999999996</v>
      </c>
    </row>
    <row r="244" spans="1:20" ht="15">
      <c r="A244" s="66"/>
      <c r="B244" s="66"/>
      <c r="C244" s="66"/>
      <c r="D244" t="s">
        <v>121</v>
      </c>
      <c r="E244" t="s">
        <v>120</v>
      </c>
      <c r="F244" t="s">
        <v>119</v>
      </c>
      <c r="G244" t="s">
        <v>120</v>
      </c>
      <c r="H244" s="19" t="s">
        <v>185</v>
      </c>
      <c r="I244" s="19" t="s">
        <v>185</v>
      </c>
      <c r="J244" s="19" t="s">
        <v>185</v>
      </c>
      <c r="K244" s="19" t="s">
        <v>185</v>
      </c>
      <c r="L244" s="19" t="s">
        <v>185</v>
      </c>
      <c r="M244" s="19" t="s">
        <v>185</v>
      </c>
      <c r="N244" s="19" t="s">
        <v>185</v>
      </c>
      <c r="O244" s="19" t="s">
        <v>185</v>
      </c>
      <c r="P244" s="19" t="s">
        <v>185</v>
      </c>
      <c r="Q244" s="19" t="s">
        <v>185</v>
      </c>
      <c r="R244" s="40" t="s">
        <v>185</v>
      </c>
      <c r="S244">
        <v>0</v>
      </c>
      <c r="T244" s="40">
        <v>200</v>
      </c>
    </row>
    <row r="245" spans="1:20" ht="15">
      <c r="A245" s="66" t="s">
        <v>31</v>
      </c>
      <c r="B245" s="66">
        <v>5</v>
      </c>
      <c r="C245" s="66">
        <v>4</v>
      </c>
      <c r="D245" t="s">
        <v>71</v>
      </c>
      <c r="E245" t="s">
        <v>162</v>
      </c>
      <c r="F245" t="s">
        <v>163</v>
      </c>
      <c r="G245" t="s">
        <v>69</v>
      </c>
      <c r="H245" s="19">
        <v>8.0690000000000008</v>
      </c>
      <c r="I245" s="19">
        <v>5.7560000000000002</v>
      </c>
      <c r="J245" s="19">
        <v>5.7110000000000003</v>
      </c>
      <c r="K245" s="19">
        <v>5.548</v>
      </c>
      <c r="L245" s="19">
        <v>5.5389999999999997</v>
      </c>
      <c r="M245" s="19">
        <v>5.4480000000000004</v>
      </c>
      <c r="N245" s="19">
        <v>5.3719999999999999</v>
      </c>
      <c r="O245" s="19">
        <v>5.617</v>
      </c>
      <c r="P245" s="19">
        <v>5.4550000000000001</v>
      </c>
      <c r="Q245" s="19">
        <v>5.68</v>
      </c>
      <c r="R245" s="40">
        <v>58.195</v>
      </c>
      <c r="S245">
        <v>0</v>
      </c>
      <c r="T245" s="40">
        <v>58.195</v>
      </c>
    </row>
    <row r="246" spans="1:20" ht="15">
      <c r="A246" s="66"/>
      <c r="B246" s="66"/>
      <c r="C246" s="66"/>
      <c r="D246" t="s">
        <v>61</v>
      </c>
      <c r="E246" t="s">
        <v>158</v>
      </c>
      <c r="F246" t="s">
        <v>140</v>
      </c>
      <c r="G246" t="s">
        <v>141</v>
      </c>
      <c r="H246" s="19">
        <v>8.5570000000000004</v>
      </c>
      <c r="I246" s="19">
        <v>6.2160000000000002</v>
      </c>
      <c r="J246" s="19">
        <v>6.1820000000000004</v>
      </c>
      <c r="K246" s="19">
        <v>5.7160000000000002</v>
      </c>
      <c r="L246" s="19">
        <v>5.4210000000000003</v>
      </c>
      <c r="M246" s="19" t="s">
        <v>215</v>
      </c>
      <c r="N246" s="19">
        <v>5.3689999999999998</v>
      </c>
      <c r="O246" s="19">
        <v>5.3559999999999999</v>
      </c>
      <c r="P246" s="19">
        <v>5.4889999999999999</v>
      </c>
      <c r="Q246" s="19">
        <v>5.5510000000000002</v>
      </c>
      <c r="R246" s="40">
        <v>59.771999999999998</v>
      </c>
      <c r="S246">
        <v>1</v>
      </c>
      <c r="T246" s="40">
        <v>65.749200000000002</v>
      </c>
    </row>
    <row r="247" spans="1:20" ht="15">
      <c r="A247" s="66"/>
      <c r="B247" s="66"/>
      <c r="C247" s="66"/>
      <c r="D247" t="s">
        <v>160</v>
      </c>
      <c r="E247" t="s">
        <v>159</v>
      </c>
      <c r="F247" t="s">
        <v>51</v>
      </c>
      <c r="G247" t="s">
        <v>183</v>
      </c>
      <c r="H247" s="19" t="s">
        <v>185</v>
      </c>
      <c r="I247" s="19" t="s">
        <v>185</v>
      </c>
      <c r="J247" s="19" t="s">
        <v>185</v>
      </c>
      <c r="K247" s="19" t="s">
        <v>185</v>
      </c>
      <c r="L247" s="19" t="s">
        <v>185</v>
      </c>
      <c r="M247" s="19" t="s">
        <v>185</v>
      </c>
      <c r="N247" s="19" t="s">
        <v>185</v>
      </c>
      <c r="O247" s="19" t="s">
        <v>185</v>
      </c>
      <c r="P247" s="19" t="s">
        <v>185</v>
      </c>
      <c r="Q247" s="19" t="s">
        <v>185</v>
      </c>
      <c r="R247" s="40" t="s">
        <v>185</v>
      </c>
      <c r="S247">
        <v>0</v>
      </c>
      <c r="T247" s="40">
        <v>200</v>
      </c>
    </row>
    <row r="248" spans="1:20" ht="15">
      <c r="A248" s="66" t="s">
        <v>6</v>
      </c>
      <c r="B248" s="66">
        <v>6</v>
      </c>
      <c r="C248" s="66">
        <v>1</v>
      </c>
      <c r="D248" t="s">
        <v>119</v>
      </c>
      <c r="E248" t="s">
        <v>120</v>
      </c>
      <c r="F248" t="s">
        <v>121</v>
      </c>
      <c r="G248" t="s">
        <v>120</v>
      </c>
      <c r="H248" s="19">
        <v>16.573</v>
      </c>
      <c r="I248" s="19">
        <v>12.297000000000001</v>
      </c>
      <c r="J248" s="19">
        <v>11.907999999999999</v>
      </c>
      <c r="K248" s="19">
        <v>11.324</v>
      </c>
      <c r="L248" s="19">
        <v>11.808999999999999</v>
      </c>
      <c r="M248" s="19">
        <v>11.788</v>
      </c>
      <c r="N248" s="19">
        <v>11.272</v>
      </c>
      <c r="O248" s="19">
        <v>11.798</v>
      </c>
      <c r="P248" s="19">
        <v>11.459</v>
      </c>
      <c r="Q248" s="19">
        <v>12.756</v>
      </c>
      <c r="R248" s="40">
        <v>122.98399999999999</v>
      </c>
      <c r="S248">
        <v>0</v>
      </c>
      <c r="T248" s="40">
        <v>122.98399999999999</v>
      </c>
    </row>
    <row r="249" spans="1:20" ht="15">
      <c r="A249" s="66"/>
      <c r="B249" s="66"/>
      <c r="C249" s="66"/>
      <c r="D249" t="s">
        <v>40</v>
      </c>
      <c r="E249" t="s">
        <v>40</v>
      </c>
      <c r="F249" t="s">
        <v>41</v>
      </c>
      <c r="G249" t="s">
        <v>41</v>
      </c>
      <c r="H249" s="19" t="s">
        <v>185</v>
      </c>
      <c r="I249" s="19" t="s">
        <v>185</v>
      </c>
      <c r="J249" s="19" t="s">
        <v>185</v>
      </c>
      <c r="K249" s="19" t="s">
        <v>185</v>
      </c>
      <c r="L249" s="19" t="s">
        <v>185</v>
      </c>
      <c r="M249" s="19" t="s">
        <v>185</v>
      </c>
      <c r="N249" s="19" t="s">
        <v>185</v>
      </c>
      <c r="O249" s="19" t="s">
        <v>185</v>
      </c>
      <c r="P249" s="19" t="s">
        <v>185</v>
      </c>
      <c r="Q249" s="19" t="s">
        <v>185</v>
      </c>
      <c r="R249" s="40" t="s">
        <v>185</v>
      </c>
      <c r="S249">
        <v>0</v>
      </c>
      <c r="T249" s="40">
        <v>200</v>
      </c>
    </row>
    <row r="250" spans="1:20" ht="15">
      <c r="A250" s="66"/>
      <c r="B250" s="66"/>
      <c r="C250" s="66"/>
      <c r="D250" t="s">
        <v>116</v>
      </c>
      <c r="E250" t="s">
        <v>117</v>
      </c>
      <c r="F250" t="s">
        <v>118</v>
      </c>
      <c r="G250" t="s">
        <v>122</v>
      </c>
      <c r="H250" s="19">
        <v>15.275</v>
      </c>
      <c r="I250" s="19">
        <v>11.055999999999999</v>
      </c>
      <c r="J250" s="19">
        <v>11.795999999999999</v>
      </c>
      <c r="K250" s="19">
        <v>12.298999999999999</v>
      </c>
      <c r="L250" s="19">
        <v>10.891</v>
      </c>
      <c r="M250" s="19">
        <v>11.388999999999999</v>
      </c>
      <c r="N250" s="19">
        <v>11.141999999999999</v>
      </c>
      <c r="O250" s="19">
        <v>11.016999999999999</v>
      </c>
      <c r="P250" s="19">
        <v>10.473000000000001</v>
      </c>
      <c r="Q250" s="19">
        <v>10.614000000000001</v>
      </c>
      <c r="R250" s="40">
        <v>115.952</v>
      </c>
      <c r="S250">
        <v>0</v>
      </c>
      <c r="T250" s="40">
        <v>115.952</v>
      </c>
    </row>
    <row r="251" spans="1:20" ht="15">
      <c r="A251" s="66" t="s">
        <v>7</v>
      </c>
      <c r="B251" s="66">
        <v>6</v>
      </c>
      <c r="C251" s="66">
        <v>1</v>
      </c>
      <c r="D251" t="s">
        <v>40</v>
      </c>
      <c r="E251" t="s">
        <v>40</v>
      </c>
      <c r="F251" t="s">
        <v>41</v>
      </c>
      <c r="G251" t="s">
        <v>41</v>
      </c>
      <c r="H251" s="19" t="s">
        <v>185</v>
      </c>
      <c r="I251" s="19" t="s">
        <v>185</v>
      </c>
      <c r="J251" s="19" t="s">
        <v>185</v>
      </c>
      <c r="K251" s="19" t="s">
        <v>185</v>
      </c>
      <c r="L251" s="19" t="s">
        <v>185</v>
      </c>
      <c r="M251" s="19" t="s">
        <v>185</v>
      </c>
      <c r="N251" s="19" t="s">
        <v>185</v>
      </c>
      <c r="O251" s="19" t="s">
        <v>185</v>
      </c>
      <c r="P251" s="19" t="s">
        <v>185</v>
      </c>
      <c r="Q251" s="19" t="s">
        <v>185</v>
      </c>
      <c r="R251" s="40" t="s">
        <v>185</v>
      </c>
      <c r="S251">
        <v>0</v>
      </c>
      <c r="T251" s="40">
        <v>200</v>
      </c>
    </row>
    <row r="252" spans="1:20" ht="15">
      <c r="A252" s="66"/>
      <c r="B252" s="66"/>
      <c r="C252" s="66"/>
      <c r="D252" t="s">
        <v>153</v>
      </c>
      <c r="E252" t="s">
        <v>154</v>
      </c>
      <c r="F252" t="s">
        <v>155</v>
      </c>
      <c r="G252" t="s">
        <v>156</v>
      </c>
      <c r="H252" s="19" t="s">
        <v>185</v>
      </c>
      <c r="I252" s="19" t="s">
        <v>185</v>
      </c>
      <c r="J252" s="19" t="s">
        <v>185</v>
      </c>
      <c r="K252" s="19" t="s">
        <v>185</v>
      </c>
      <c r="L252" s="19" t="s">
        <v>185</v>
      </c>
      <c r="M252" s="19" t="s">
        <v>185</v>
      </c>
      <c r="N252" s="19" t="s">
        <v>185</v>
      </c>
      <c r="O252" s="19" t="s">
        <v>185</v>
      </c>
      <c r="P252" s="19" t="s">
        <v>185</v>
      </c>
      <c r="Q252" s="19" t="s">
        <v>185</v>
      </c>
      <c r="R252" s="40" t="s">
        <v>185</v>
      </c>
      <c r="S252">
        <v>0</v>
      </c>
      <c r="T252" s="40">
        <v>200</v>
      </c>
    </row>
    <row r="253" spans="1:20" ht="15">
      <c r="A253" s="66"/>
      <c r="B253" s="66"/>
      <c r="C253" s="66"/>
      <c r="D253" t="s">
        <v>68</v>
      </c>
      <c r="E253" t="s">
        <v>63</v>
      </c>
      <c r="F253" t="s">
        <v>142</v>
      </c>
      <c r="G253" t="s">
        <v>63</v>
      </c>
      <c r="H253" s="19">
        <v>8.7240000000000002</v>
      </c>
      <c r="I253" s="19">
        <v>6.4649999999999999</v>
      </c>
      <c r="J253" s="19">
        <v>6.0979999999999999</v>
      </c>
      <c r="K253" s="19">
        <v>5.7750000000000004</v>
      </c>
      <c r="L253" s="19">
        <v>6.7050000000000001</v>
      </c>
      <c r="M253" s="19">
        <v>6.2439999999999998</v>
      </c>
      <c r="N253" s="19">
        <v>5.9210000000000003</v>
      </c>
      <c r="O253" s="19">
        <v>6.2850000000000001</v>
      </c>
      <c r="P253" s="19">
        <v>6.649</v>
      </c>
      <c r="Q253" s="19">
        <v>6.1269999999999998</v>
      </c>
      <c r="R253" s="40">
        <v>64.992999999999995</v>
      </c>
      <c r="S253">
        <v>0</v>
      </c>
      <c r="T253" s="40">
        <v>64.992999999999995</v>
      </c>
    </row>
    <row r="254" spans="1:20" ht="15">
      <c r="A254" s="66" t="s">
        <v>7</v>
      </c>
      <c r="B254" s="66">
        <v>6</v>
      </c>
      <c r="C254" s="66">
        <v>2</v>
      </c>
      <c r="D254" t="s">
        <v>136</v>
      </c>
      <c r="E254" t="s">
        <v>137</v>
      </c>
      <c r="F254" t="s">
        <v>134</v>
      </c>
      <c r="G254" t="s">
        <v>135</v>
      </c>
      <c r="H254" s="19">
        <v>8.6039999999999992</v>
      </c>
      <c r="I254" s="19">
        <v>5.6559999999999997</v>
      </c>
      <c r="J254" s="19">
        <v>5.3</v>
      </c>
      <c r="K254" s="19">
        <v>5.3769999999999998</v>
      </c>
      <c r="L254" s="19">
        <v>5.5650000000000004</v>
      </c>
      <c r="M254" s="19">
        <v>5.117</v>
      </c>
      <c r="N254" s="19">
        <v>6.2919999999999998</v>
      </c>
      <c r="O254" s="19">
        <v>5.3179999999999996</v>
      </c>
      <c r="P254" s="19">
        <v>5.1760000000000002</v>
      </c>
      <c r="Q254" s="19">
        <v>5.4859999999999998</v>
      </c>
      <c r="R254" s="40">
        <v>57.890999999999998</v>
      </c>
      <c r="S254">
        <v>0</v>
      </c>
      <c r="T254" s="40">
        <v>57.890999999999998</v>
      </c>
    </row>
    <row r="255" spans="1:20" ht="15">
      <c r="A255" s="66"/>
      <c r="B255" s="66"/>
      <c r="C255" s="66"/>
      <c r="D255" t="s">
        <v>53</v>
      </c>
      <c r="E255" t="s">
        <v>54</v>
      </c>
      <c r="F255" t="s">
        <v>130</v>
      </c>
      <c r="G255" t="s">
        <v>131</v>
      </c>
      <c r="H255" s="19">
        <v>8.0960000000000001</v>
      </c>
      <c r="I255" s="19">
        <v>5.5919999999999996</v>
      </c>
      <c r="J255" s="19">
        <v>5.0339999999999998</v>
      </c>
      <c r="K255" s="19">
        <v>5.3209999999999997</v>
      </c>
      <c r="L255" s="19">
        <v>5.2850000000000001</v>
      </c>
      <c r="M255" s="19">
        <v>5.5629999999999997</v>
      </c>
      <c r="N255" s="19">
        <v>5.274</v>
      </c>
      <c r="O255" s="19">
        <v>5.1760000000000002</v>
      </c>
      <c r="P255" s="19">
        <v>5.6689999999999996</v>
      </c>
      <c r="Q255" s="19">
        <v>5.4649999999999999</v>
      </c>
      <c r="R255" s="40">
        <v>56.475000000000001</v>
      </c>
      <c r="S255">
        <v>0</v>
      </c>
      <c r="T255" s="40">
        <v>56.475000000000001</v>
      </c>
    </row>
    <row r="256" spans="1:20" ht="15">
      <c r="A256" s="66"/>
      <c r="B256" s="66"/>
      <c r="C256" s="66"/>
      <c r="D256" t="s">
        <v>128</v>
      </c>
      <c r="E256" t="s">
        <v>129</v>
      </c>
      <c r="F256" t="s">
        <v>58</v>
      </c>
      <c r="G256" t="s">
        <v>127</v>
      </c>
      <c r="H256" s="19">
        <v>9.0150000000000006</v>
      </c>
      <c r="I256" s="19">
        <v>6.3170000000000002</v>
      </c>
      <c r="J256" s="19">
        <v>6.0650000000000004</v>
      </c>
      <c r="K256" s="19">
        <v>5.9939999999999998</v>
      </c>
      <c r="L256" s="19">
        <v>6.4930000000000003</v>
      </c>
      <c r="M256" s="19">
        <v>6.86</v>
      </c>
      <c r="N256" s="19">
        <v>6.5259999999999998</v>
      </c>
      <c r="O256" s="19">
        <v>6.3490000000000002</v>
      </c>
      <c r="P256" s="19">
        <v>6.8650000000000002</v>
      </c>
      <c r="Q256" s="19">
        <v>6.8109999999999999</v>
      </c>
      <c r="R256" s="40">
        <v>67.295000000000002</v>
      </c>
      <c r="S256">
        <v>0</v>
      </c>
      <c r="T256" s="40">
        <v>67.295000000000002</v>
      </c>
    </row>
    <row r="257" spans="1:20" ht="15">
      <c r="A257" s="66" t="s">
        <v>7</v>
      </c>
      <c r="B257" s="66">
        <v>6</v>
      </c>
      <c r="C257" s="66">
        <v>3</v>
      </c>
      <c r="D257" t="s">
        <v>45</v>
      </c>
      <c r="E257" t="s">
        <v>44</v>
      </c>
      <c r="F257" t="s">
        <v>177</v>
      </c>
      <c r="G257" t="s">
        <v>178</v>
      </c>
      <c r="H257" s="19" t="s">
        <v>185</v>
      </c>
      <c r="I257" s="19" t="s">
        <v>185</v>
      </c>
      <c r="J257" s="19" t="s">
        <v>185</v>
      </c>
      <c r="K257" s="19" t="s">
        <v>185</v>
      </c>
      <c r="L257" s="19" t="s">
        <v>185</v>
      </c>
      <c r="M257" s="19" t="s">
        <v>185</v>
      </c>
      <c r="N257" s="19" t="s">
        <v>185</v>
      </c>
      <c r="O257" s="19" t="s">
        <v>185</v>
      </c>
      <c r="P257" s="19" t="s">
        <v>185</v>
      </c>
      <c r="Q257" s="19" t="s">
        <v>185</v>
      </c>
      <c r="R257" s="40" t="s">
        <v>185</v>
      </c>
      <c r="S257">
        <v>0</v>
      </c>
      <c r="T257" s="40">
        <v>200</v>
      </c>
    </row>
    <row r="258" spans="1:20" ht="15">
      <c r="A258" s="66"/>
      <c r="B258" s="66"/>
      <c r="C258" s="66"/>
      <c r="D258" t="s">
        <v>142</v>
      </c>
      <c r="E258" t="s">
        <v>63</v>
      </c>
      <c r="F258" t="s">
        <v>62</v>
      </c>
      <c r="G258" t="s">
        <v>63</v>
      </c>
      <c r="H258" s="19">
        <v>8.8610000000000007</v>
      </c>
      <c r="I258" s="19">
        <v>5.7480000000000002</v>
      </c>
      <c r="J258" s="19">
        <v>6.2039999999999997</v>
      </c>
      <c r="K258" s="19">
        <v>5.8040000000000003</v>
      </c>
      <c r="L258" s="19">
        <v>5.5410000000000004</v>
      </c>
      <c r="M258" s="19">
        <v>5.8760000000000003</v>
      </c>
      <c r="N258" s="19">
        <v>5.3970000000000002</v>
      </c>
      <c r="O258" s="19" t="s">
        <v>309</v>
      </c>
      <c r="P258" s="19">
        <v>5.78</v>
      </c>
      <c r="Q258" s="19">
        <v>6.1079999999999997</v>
      </c>
      <c r="R258" s="40">
        <v>61.192</v>
      </c>
      <c r="S258">
        <v>1</v>
      </c>
      <c r="T258" s="40">
        <v>67.311199999999999</v>
      </c>
    </row>
    <row r="259" spans="1:20" ht="15">
      <c r="A259" s="66"/>
      <c r="B259" s="66"/>
      <c r="C259" s="66"/>
      <c r="D259" t="s">
        <v>51</v>
      </c>
      <c r="E259" t="s">
        <v>183</v>
      </c>
      <c r="F259" t="s">
        <v>130</v>
      </c>
      <c r="G259" t="s">
        <v>131</v>
      </c>
      <c r="H259" s="19">
        <v>8.1859999999999999</v>
      </c>
      <c r="I259" s="19">
        <v>6</v>
      </c>
      <c r="J259" s="19">
        <v>5.6020000000000003</v>
      </c>
      <c r="K259" s="19">
        <v>5.5919999999999996</v>
      </c>
      <c r="L259" s="19">
        <v>5.9450000000000003</v>
      </c>
      <c r="M259" s="19">
        <v>5.2679999999999998</v>
      </c>
      <c r="N259" s="19">
        <v>8.8800000000000008</v>
      </c>
      <c r="O259" s="19">
        <v>5.9930000000000003</v>
      </c>
      <c r="P259" s="19">
        <v>5.8780000000000001</v>
      </c>
      <c r="Q259" s="19">
        <v>6.0709999999999997</v>
      </c>
      <c r="R259" s="40">
        <v>63.414999999999999</v>
      </c>
      <c r="S259">
        <v>0</v>
      </c>
      <c r="T259" s="40">
        <v>63.414999999999999</v>
      </c>
    </row>
    <row r="260" spans="1:20" ht="15">
      <c r="A260" s="66" t="s">
        <v>7</v>
      </c>
      <c r="B260" s="66">
        <v>6</v>
      </c>
      <c r="C260" s="66">
        <v>4</v>
      </c>
      <c r="D260" t="s">
        <v>134</v>
      </c>
      <c r="E260" t="s">
        <v>135</v>
      </c>
      <c r="F260" t="s">
        <v>136</v>
      </c>
      <c r="G260" t="s">
        <v>137</v>
      </c>
      <c r="H260" s="19">
        <v>8.5670000000000002</v>
      </c>
      <c r="I260" s="19">
        <v>5.3250000000000002</v>
      </c>
      <c r="J260" s="19">
        <v>6.2160000000000002</v>
      </c>
      <c r="K260" s="19">
        <v>5.7619999999999996</v>
      </c>
      <c r="L260" s="19">
        <v>5.83</v>
      </c>
      <c r="M260" s="19">
        <v>5.8010000000000002</v>
      </c>
      <c r="N260" s="19">
        <v>5.7430000000000003</v>
      </c>
      <c r="O260" s="19">
        <v>5.7130000000000001</v>
      </c>
      <c r="P260" s="19">
        <v>5.9640000000000004</v>
      </c>
      <c r="Q260" s="19">
        <v>5.9779999999999998</v>
      </c>
      <c r="R260" s="40">
        <v>60.899000000000001</v>
      </c>
      <c r="S260">
        <v>0</v>
      </c>
      <c r="T260" s="40">
        <v>60.899000000000001</v>
      </c>
    </row>
    <row r="261" spans="1:20" ht="15">
      <c r="A261" s="66"/>
      <c r="B261" s="66"/>
      <c r="C261" s="66"/>
      <c r="D261" t="s">
        <v>56</v>
      </c>
      <c r="E261" t="s">
        <v>57</v>
      </c>
      <c r="F261" t="s">
        <v>52</v>
      </c>
      <c r="G261" t="s">
        <v>125</v>
      </c>
      <c r="H261" s="19">
        <v>8.6020000000000003</v>
      </c>
      <c r="I261" s="19">
        <v>5.9850000000000003</v>
      </c>
      <c r="J261" s="19">
        <v>5.7009999999999996</v>
      </c>
      <c r="K261" s="19" t="s">
        <v>310</v>
      </c>
      <c r="L261" s="19">
        <v>6.27</v>
      </c>
      <c r="M261" s="19">
        <v>6.5090000000000003</v>
      </c>
      <c r="N261" s="19">
        <v>6.5650000000000004</v>
      </c>
      <c r="O261" s="19">
        <v>6.5860000000000003</v>
      </c>
      <c r="P261" s="19">
        <v>6.3479999999999999</v>
      </c>
      <c r="Q261" s="19">
        <v>6.4960000000000004</v>
      </c>
      <c r="R261" s="40">
        <v>64.878</v>
      </c>
      <c r="S261">
        <v>1</v>
      </c>
      <c r="T261" s="40">
        <v>71.365800000000007</v>
      </c>
    </row>
    <row r="262" spans="1:20" ht="15">
      <c r="A262" s="66"/>
      <c r="B262" s="66"/>
      <c r="C262" s="66"/>
      <c r="D262" t="s">
        <v>123</v>
      </c>
      <c r="E262" t="s">
        <v>124</v>
      </c>
      <c r="F262" t="s">
        <v>121</v>
      </c>
      <c r="G262" t="s">
        <v>120</v>
      </c>
      <c r="H262" s="19" t="s">
        <v>185</v>
      </c>
      <c r="I262" s="19" t="s">
        <v>185</v>
      </c>
      <c r="J262" s="19" t="s">
        <v>185</v>
      </c>
      <c r="K262" s="19" t="s">
        <v>185</v>
      </c>
      <c r="L262" s="19" t="s">
        <v>185</v>
      </c>
      <c r="M262" s="19" t="s">
        <v>185</v>
      </c>
      <c r="N262" s="19" t="s">
        <v>185</v>
      </c>
      <c r="O262" s="19" t="s">
        <v>185</v>
      </c>
      <c r="P262" s="19" t="s">
        <v>185</v>
      </c>
      <c r="Q262" s="19" t="s">
        <v>185</v>
      </c>
      <c r="R262" s="40" t="s">
        <v>185</v>
      </c>
      <c r="S262">
        <v>0</v>
      </c>
      <c r="T262" s="40">
        <v>200</v>
      </c>
    </row>
    <row r="263" spans="1:20" ht="15">
      <c r="A263" s="66" t="s">
        <v>7</v>
      </c>
      <c r="B263" s="66">
        <v>6</v>
      </c>
      <c r="C263" s="66">
        <v>5</v>
      </c>
      <c r="D263" t="s">
        <v>60</v>
      </c>
      <c r="E263" t="s">
        <v>146</v>
      </c>
      <c r="F263" t="s">
        <v>69</v>
      </c>
      <c r="G263" t="s">
        <v>70</v>
      </c>
      <c r="H263" s="19">
        <v>8.9700000000000006</v>
      </c>
      <c r="I263" s="19">
        <v>6.62</v>
      </c>
      <c r="J263" s="19">
        <v>6.4610000000000003</v>
      </c>
      <c r="K263" s="19">
        <v>6.0010000000000003</v>
      </c>
      <c r="L263" s="19" t="s">
        <v>312</v>
      </c>
      <c r="M263" s="19">
        <v>5.7009999999999996</v>
      </c>
      <c r="N263" s="19">
        <v>6.2140000000000004</v>
      </c>
      <c r="O263" s="19">
        <v>6.6760000000000002</v>
      </c>
      <c r="P263" s="19">
        <v>5.9770000000000003</v>
      </c>
      <c r="Q263" s="19">
        <v>6.1310000000000002</v>
      </c>
      <c r="R263" s="40">
        <v>65.468999999999994</v>
      </c>
      <c r="S263">
        <v>1</v>
      </c>
      <c r="T263" s="40">
        <v>72.015900000000002</v>
      </c>
    </row>
    <row r="264" spans="1:20" ht="15">
      <c r="A264" s="66"/>
      <c r="B264" s="66"/>
      <c r="C264" s="66"/>
      <c r="D264" t="s">
        <v>132</v>
      </c>
      <c r="E264" t="s">
        <v>133</v>
      </c>
      <c r="F264" t="s">
        <v>160</v>
      </c>
      <c r="G264" t="s">
        <v>159</v>
      </c>
      <c r="H264" s="19" t="s">
        <v>311</v>
      </c>
      <c r="I264" s="19">
        <v>6.6340000000000003</v>
      </c>
      <c r="J264" s="19">
        <v>6.1029999999999998</v>
      </c>
      <c r="K264" s="19">
        <v>6.4059999999999997</v>
      </c>
      <c r="L264" s="19">
        <v>6.6310000000000002</v>
      </c>
      <c r="M264" s="19">
        <v>6.0819999999999999</v>
      </c>
      <c r="N264" s="19">
        <v>6.0880000000000001</v>
      </c>
      <c r="O264" s="19">
        <v>6.226</v>
      </c>
      <c r="P264" s="19" t="s">
        <v>187</v>
      </c>
      <c r="Q264" s="19" t="s">
        <v>185</v>
      </c>
      <c r="R264" s="40" t="s">
        <v>185</v>
      </c>
      <c r="S264">
        <v>2</v>
      </c>
      <c r="T264" s="40">
        <v>200</v>
      </c>
    </row>
    <row r="265" spans="1:20" ht="15">
      <c r="A265" s="66"/>
      <c r="B265" s="66"/>
      <c r="C265" s="66"/>
      <c r="D265" t="s">
        <v>52</v>
      </c>
      <c r="E265" t="s">
        <v>125</v>
      </c>
      <c r="F265" t="s">
        <v>56</v>
      </c>
      <c r="G265" t="s">
        <v>57</v>
      </c>
      <c r="H265" s="19" t="s">
        <v>185</v>
      </c>
      <c r="I265" s="19" t="s">
        <v>185</v>
      </c>
      <c r="J265" s="19" t="s">
        <v>185</v>
      </c>
      <c r="K265" s="19" t="s">
        <v>185</v>
      </c>
      <c r="L265" s="19" t="s">
        <v>185</v>
      </c>
      <c r="M265" s="19" t="s">
        <v>185</v>
      </c>
      <c r="N265" s="19" t="s">
        <v>185</v>
      </c>
      <c r="O265" s="19" t="s">
        <v>185</v>
      </c>
      <c r="P265" s="19" t="s">
        <v>185</v>
      </c>
      <c r="Q265" s="19" t="s">
        <v>185</v>
      </c>
      <c r="R265" s="40" t="s">
        <v>185</v>
      </c>
      <c r="S265">
        <v>0</v>
      </c>
      <c r="T265" s="40">
        <v>200</v>
      </c>
    </row>
    <row r="266" spans="1:20" ht="15">
      <c r="A266" s="66" t="s">
        <v>7</v>
      </c>
      <c r="B266" s="66">
        <v>6</v>
      </c>
      <c r="C266" s="66">
        <v>6</v>
      </c>
      <c r="D266" t="s">
        <v>61</v>
      </c>
      <c r="E266" t="s">
        <v>158</v>
      </c>
      <c r="F266" t="s">
        <v>140</v>
      </c>
      <c r="G266" t="s">
        <v>141</v>
      </c>
      <c r="H266" s="19">
        <v>9.2669999999999995</v>
      </c>
      <c r="I266" s="19">
        <v>5.4790000000000001</v>
      </c>
      <c r="J266" s="19">
        <v>5.7990000000000004</v>
      </c>
      <c r="K266" s="19">
        <v>5.8310000000000004</v>
      </c>
      <c r="L266" s="19">
        <v>5.63</v>
      </c>
      <c r="M266" s="19">
        <v>5.6059999999999999</v>
      </c>
      <c r="N266" s="19">
        <v>5.3780000000000001</v>
      </c>
      <c r="O266" s="19">
        <v>5.8029999999999999</v>
      </c>
      <c r="P266" s="19">
        <v>5.798</v>
      </c>
      <c r="Q266" s="19">
        <v>5.9080000000000004</v>
      </c>
      <c r="R266" s="40">
        <v>60.499000000000002</v>
      </c>
      <c r="S266">
        <v>0</v>
      </c>
      <c r="T266" s="40">
        <v>60.499000000000002</v>
      </c>
    </row>
    <row r="267" spans="1:20" ht="15">
      <c r="A267" s="66"/>
      <c r="B267" s="66"/>
      <c r="C267" s="66"/>
      <c r="D267" t="s">
        <v>126</v>
      </c>
      <c r="E267" t="s">
        <v>127</v>
      </c>
      <c r="F267" t="s">
        <v>58</v>
      </c>
      <c r="G267" t="s">
        <v>127</v>
      </c>
      <c r="H267" s="19" t="s">
        <v>185</v>
      </c>
      <c r="I267" s="19" t="s">
        <v>185</v>
      </c>
      <c r="J267" s="19" t="s">
        <v>185</v>
      </c>
      <c r="K267" s="19" t="s">
        <v>185</v>
      </c>
      <c r="L267" s="19" t="s">
        <v>185</v>
      </c>
      <c r="M267" s="19" t="s">
        <v>185</v>
      </c>
      <c r="N267" s="19" t="s">
        <v>185</v>
      </c>
      <c r="O267" s="19" t="s">
        <v>185</v>
      </c>
      <c r="P267" s="19" t="s">
        <v>185</v>
      </c>
      <c r="Q267" s="19" t="s">
        <v>185</v>
      </c>
      <c r="R267" s="40" t="s">
        <v>185</v>
      </c>
      <c r="S267">
        <v>0</v>
      </c>
      <c r="T267" s="40">
        <v>200</v>
      </c>
    </row>
    <row r="268" spans="1:20" ht="15">
      <c r="A268" s="66"/>
      <c r="B268" s="66"/>
      <c r="C268" s="66"/>
      <c r="D268" t="s">
        <v>47</v>
      </c>
      <c r="E268" t="s">
        <v>48</v>
      </c>
      <c r="F268" t="s">
        <v>147</v>
      </c>
      <c r="G268" t="s">
        <v>48</v>
      </c>
      <c r="H268" s="19">
        <v>10.955</v>
      </c>
      <c r="I268" s="19">
        <v>6.6340000000000003</v>
      </c>
      <c r="J268" s="19">
        <v>7.5549999999999997</v>
      </c>
      <c r="K268" s="19">
        <v>6.7119999999999997</v>
      </c>
      <c r="L268" s="19" t="s">
        <v>313</v>
      </c>
      <c r="M268" s="19">
        <v>6.4370000000000003</v>
      </c>
      <c r="N268" s="19">
        <v>6.6120000000000001</v>
      </c>
      <c r="O268" s="19">
        <v>6.02</v>
      </c>
      <c r="P268" s="19">
        <v>5.88</v>
      </c>
      <c r="Q268" s="19">
        <v>6.569</v>
      </c>
      <c r="R268" s="40">
        <v>70.006</v>
      </c>
      <c r="S268">
        <v>1</v>
      </c>
      <c r="T268" s="40">
        <v>77.006600000000006</v>
      </c>
    </row>
    <row r="269" spans="1:20" ht="15">
      <c r="A269" s="66" t="s">
        <v>7</v>
      </c>
      <c r="B269" s="66">
        <v>6</v>
      </c>
      <c r="C269" s="66">
        <v>7</v>
      </c>
      <c r="D269" t="s">
        <v>64</v>
      </c>
      <c r="E269" t="s">
        <v>65</v>
      </c>
      <c r="F269" t="s">
        <v>143</v>
      </c>
      <c r="G269" t="s">
        <v>144</v>
      </c>
      <c r="H269" s="19">
        <v>9.7409999999999997</v>
      </c>
      <c r="I269" s="19">
        <v>5.8849999999999998</v>
      </c>
      <c r="J269" s="19">
        <v>5.367</v>
      </c>
      <c r="K269" s="19">
        <v>5.915</v>
      </c>
      <c r="L269" s="19">
        <v>5.4980000000000002</v>
      </c>
      <c r="M269" s="19">
        <v>5.4939999999999998</v>
      </c>
      <c r="N269" s="19">
        <v>6.1689999999999996</v>
      </c>
      <c r="O269" s="19">
        <v>5.609</v>
      </c>
      <c r="P269" s="19">
        <v>5.7119999999999997</v>
      </c>
      <c r="Q269" s="19">
        <v>5.5750000000000002</v>
      </c>
      <c r="R269" s="40">
        <v>60.965000000000003</v>
      </c>
      <c r="S269">
        <v>0</v>
      </c>
      <c r="T269" s="40">
        <v>60.965000000000003</v>
      </c>
    </row>
    <row r="270" spans="1:20" ht="15">
      <c r="A270" s="66"/>
      <c r="B270" s="66"/>
      <c r="C270" s="66"/>
      <c r="D270" t="s">
        <v>62</v>
      </c>
      <c r="E270" t="s">
        <v>63</v>
      </c>
      <c r="F270" t="s">
        <v>68</v>
      </c>
      <c r="G270" t="s">
        <v>63</v>
      </c>
      <c r="H270" s="19">
        <v>9.0950000000000006</v>
      </c>
      <c r="I270" s="19">
        <v>5.9429999999999996</v>
      </c>
      <c r="J270" s="19">
        <v>6.25</v>
      </c>
      <c r="K270" s="19">
        <v>5.8410000000000002</v>
      </c>
      <c r="L270" s="19">
        <v>6.02</v>
      </c>
      <c r="M270" s="19">
        <v>5.984</v>
      </c>
      <c r="N270" s="19">
        <v>5.6120000000000001</v>
      </c>
      <c r="O270" s="19">
        <v>6.0019999999999998</v>
      </c>
      <c r="P270" s="19">
        <v>5.5380000000000003</v>
      </c>
      <c r="Q270" s="19">
        <v>6.0449999999999999</v>
      </c>
      <c r="R270" s="40">
        <v>62.33</v>
      </c>
      <c r="S270">
        <v>0</v>
      </c>
      <c r="T270" s="40">
        <v>62.33</v>
      </c>
    </row>
    <row r="271" spans="1:20" ht="15">
      <c r="A271" s="66"/>
      <c r="B271" s="66"/>
      <c r="C271" s="66"/>
      <c r="D271" t="s">
        <v>50</v>
      </c>
      <c r="E271" t="s">
        <v>139</v>
      </c>
      <c r="F271" t="s">
        <v>49</v>
      </c>
      <c r="G271" t="s">
        <v>148</v>
      </c>
      <c r="H271" s="19">
        <v>9.3070000000000004</v>
      </c>
      <c r="I271" s="19">
        <v>6.3239999999999998</v>
      </c>
      <c r="J271" s="19">
        <v>6.3040000000000003</v>
      </c>
      <c r="K271" s="19">
        <v>5.8959999999999999</v>
      </c>
      <c r="L271" s="19">
        <v>6.2949999999999999</v>
      </c>
      <c r="M271" s="19">
        <v>6.0940000000000003</v>
      </c>
      <c r="N271" s="19">
        <v>6.258</v>
      </c>
      <c r="O271" s="19" t="s">
        <v>314</v>
      </c>
      <c r="P271" s="19">
        <v>5.97</v>
      </c>
      <c r="Q271" s="19">
        <v>5.8520000000000003</v>
      </c>
      <c r="R271" s="40">
        <v>64.61</v>
      </c>
      <c r="S271">
        <v>1</v>
      </c>
      <c r="T271" s="40">
        <v>71.071000000000012</v>
      </c>
    </row>
    <row r="272" spans="1:20" ht="15">
      <c r="A272" s="66" t="s">
        <v>7</v>
      </c>
      <c r="B272" s="66">
        <v>6</v>
      </c>
      <c r="C272" s="66">
        <v>8</v>
      </c>
      <c r="D272" t="s">
        <v>157</v>
      </c>
      <c r="E272" t="s">
        <v>184</v>
      </c>
      <c r="F272" t="s">
        <v>155</v>
      </c>
      <c r="G272" t="s">
        <v>156</v>
      </c>
      <c r="H272" s="19">
        <v>8.8469999999999995</v>
      </c>
      <c r="I272" s="19">
        <v>6.1680000000000001</v>
      </c>
      <c r="J272" s="19">
        <v>5.6950000000000003</v>
      </c>
      <c r="K272" s="19">
        <v>6.16</v>
      </c>
      <c r="L272" s="19">
        <v>5.8550000000000004</v>
      </c>
      <c r="M272" s="19">
        <v>6.34</v>
      </c>
      <c r="N272" s="19">
        <v>6.1139999999999999</v>
      </c>
      <c r="O272" s="19">
        <v>6.0750000000000002</v>
      </c>
      <c r="P272" s="19">
        <v>5.9509999999999996</v>
      </c>
      <c r="Q272" s="19">
        <v>5.9770000000000003</v>
      </c>
      <c r="R272" s="40">
        <v>63.182000000000002</v>
      </c>
      <c r="S272">
        <v>0</v>
      </c>
      <c r="T272" s="40">
        <v>63.182000000000002</v>
      </c>
    </row>
    <row r="273" spans="1:20" ht="15">
      <c r="A273" s="66"/>
      <c r="B273" s="66"/>
      <c r="C273" s="66"/>
      <c r="D273" t="s">
        <v>149</v>
      </c>
      <c r="E273" t="s">
        <v>150</v>
      </c>
      <c r="F273" t="s">
        <v>160</v>
      </c>
      <c r="G273" t="s">
        <v>159</v>
      </c>
      <c r="H273" s="19">
        <v>8.7439999999999998</v>
      </c>
      <c r="I273" s="19">
        <v>6.6719999999999997</v>
      </c>
      <c r="J273" s="19">
        <v>6.04</v>
      </c>
      <c r="K273" s="19">
        <v>6.1349999999999998</v>
      </c>
      <c r="L273" s="19">
        <v>6.2930000000000001</v>
      </c>
      <c r="M273" s="19">
        <v>5.9020000000000001</v>
      </c>
      <c r="N273" s="19">
        <v>5.9930000000000003</v>
      </c>
      <c r="O273" s="19">
        <v>6.016</v>
      </c>
      <c r="P273" s="19">
        <v>5.8360000000000003</v>
      </c>
      <c r="Q273" s="19">
        <v>6.0709999999999997</v>
      </c>
      <c r="R273" s="40">
        <v>63.701999999999998</v>
      </c>
      <c r="S273">
        <v>0</v>
      </c>
      <c r="T273" s="40">
        <v>63.701999999999998</v>
      </c>
    </row>
    <row r="274" spans="1:20" ht="15">
      <c r="A274" s="66"/>
      <c r="B274" s="66"/>
      <c r="C274" s="66"/>
      <c r="D274" t="s">
        <v>43</v>
      </c>
      <c r="E274" t="s">
        <v>46</v>
      </c>
      <c r="F274" t="s">
        <v>145</v>
      </c>
      <c r="G274" t="s">
        <v>46</v>
      </c>
      <c r="H274" s="19">
        <v>8.4610000000000003</v>
      </c>
      <c r="I274" s="19">
        <v>6.3780000000000001</v>
      </c>
      <c r="J274" s="19">
        <v>6.0119999999999996</v>
      </c>
      <c r="K274" s="19">
        <v>5.8719999999999999</v>
      </c>
      <c r="L274" s="19">
        <v>5.8339999999999996</v>
      </c>
      <c r="M274" s="19">
        <v>6.0049999999999999</v>
      </c>
      <c r="N274" s="19">
        <v>5.774</v>
      </c>
      <c r="O274" s="19">
        <v>6.0090000000000003</v>
      </c>
      <c r="P274" s="19">
        <v>6.0129999999999999</v>
      </c>
      <c r="Q274" s="19">
        <v>5.8220000000000001</v>
      </c>
      <c r="R274" s="40">
        <v>62.18</v>
      </c>
      <c r="S274">
        <v>0</v>
      </c>
      <c r="T274" s="40">
        <v>62.18</v>
      </c>
    </row>
    <row r="275" spans="1:20" ht="15">
      <c r="A275" s="66" t="s">
        <v>7</v>
      </c>
      <c r="B275" s="66">
        <v>6</v>
      </c>
      <c r="C275" s="66">
        <v>9</v>
      </c>
      <c r="D275" t="s">
        <v>66</v>
      </c>
      <c r="E275" t="s">
        <v>67</v>
      </c>
      <c r="F275" t="s">
        <v>43</v>
      </c>
      <c r="G275" t="s">
        <v>46</v>
      </c>
      <c r="H275" s="19" t="s">
        <v>185</v>
      </c>
      <c r="I275" s="19" t="s">
        <v>185</v>
      </c>
      <c r="J275" s="19" t="s">
        <v>185</v>
      </c>
      <c r="K275" s="19" t="s">
        <v>185</v>
      </c>
      <c r="L275" s="19" t="s">
        <v>185</v>
      </c>
      <c r="M275" s="19" t="s">
        <v>185</v>
      </c>
      <c r="N275" s="19" t="s">
        <v>185</v>
      </c>
      <c r="O275" s="19" t="s">
        <v>185</v>
      </c>
      <c r="P275" s="19" t="s">
        <v>185</v>
      </c>
      <c r="Q275" s="19" t="s">
        <v>185</v>
      </c>
      <c r="R275" s="40" t="s">
        <v>185</v>
      </c>
      <c r="S275">
        <v>0</v>
      </c>
      <c r="T275" s="40">
        <v>200</v>
      </c>
    </row>
    <row r="276" spans="1:20" ht="15">
      <c r="A276" s="66"/>
      <c r="B276" s="66"/>
      <c r="C276" s="66"/>
      <c r="D276" t="s">
        <v>59</v>
      </c>
      <c r="E276" t="s">
        <v>120</v>
      </c>
      <c r="F276" t="s">
        <v>119</v>
      </c>
      <c r="G276" t="s">
        <v>120</v>
      </c>
      <c r="H276" s="19">
        <v>8.7449999999999992</v>
      </c>
      <c r="I276" s="19">
        <v>6.2770000000000001</v>
      </c>
      <c r="J276" s="19">
        <v>5.694</v>
      </c>
      <c r="K276" s="19" t="s">
        <v>315</v>
      </c>
      <c r="L276" s="19">
        <v>5.9889999999999999</v>
      </c>
      <c r="M276" s="19">
        <v>5.8719999999999999</v>
      </c>
      <c r="N276" s="19">
        <v>5.1680000000000001</v>
      </c>
      <c r="O276" s="19">
        <v>5.8609999999999998</v>
      </c>
      <c r="P276" s="19">
        <v>6.3559999999999999</v>
      </c>
      <c r="Q276" s="19">
        <v>5.7919999999999998</v>
      </c>
      <c r="R276" s="40">
        <v>60.982999999999997</v>
      </c>
      <c r="S276">
        <v>1</v>
      </c>
      <c r="T276" s="40">
        <v>67.081299999999999</v>
      </c>
    </row>
    <row r="277" spans="1:20" ht="15">
      <c r="A277" s="66"/>
      <c r="B277" s="66"/>
      <c r="C277" s="66"/>
      <c r="D277" t="s">
        <v>140</v>
      </c>
      <c r="E277" t="s">
        <v>151</v>
      </c>
      <c r="F277" t="s">
        <v>72</v>
      </c>
      <c r="G277" t="s">
        <v>152</v>
      </c>
      <c r="H277" s="19">
        <v>8.9930000000000003</v>
      </c>
      <c r="I277" s="19">
        <v>5.75</v>
      </c>
      <c r="J277" s="19">
        <v>5.5289999999999999</v>
      </c>
      <c r="K277" s="19">
        <v>5.5190000000000001</v>
      </c>
      <c r="L277" s="19">
        <v>5.8730000000000002</v>
      </c>
      <c r="M277" s="19">
        <v>5.6340000000000003</v>
      </c>
      <c r="N277" s="19">
        <v>5.6379999999999999</v>
      </c>
      <c r="O277" s="19">
        <v>5.7830000000000004</v>
      </c>
      <c r="P277" s="19">
        <v>5.4050000000000002</v>
      </c>
      <c r="Q277" s="19">
        <v>5.8579999999999997</v>
      </c>
      <c r="R277" s="40">
        <v>59.981999999999999</v>
      </c>
      <c r="S277">
        <v>0</v>
      </c>
      <c r="T277" s="40">
        <v>59.981999999999999</v>
      </c>
    </row>
    <row r="278" spans="1:20" ht="15">
      <c r="A278" s="66" t="s">
        <v>7</v>
      </c>
      <c r="B278" s="66">
        <v>6</v>
      </c>
      <c r="C278" s="66">
        <v>10</v>
      </c>
      <c r="D278" t="s">
        <v>49</v>
      </c>
      <c r="E278" t="s">
        <v>148</v>
      </c>
      <c r="F278" t="s">
        <v>52</v>
      </c>
      <c r="G278" t="s">
        <v>125</v>
      </c>
      <c r="H278" s="19">
        <v>9.6440000000000001</v>
      </c>
      <c r="I278" s="19">
        <v>6.1779999999999999</v>
      </c>
      <c r="J278" s="19">
        <v>6.1050000000000004</v>
      </c>
      <c r="K278" s="19">
        <v>6.2320000000000002</v>
      </c>
      <c r="L278" s="19">
        <v>5.68</v>
      </c>
      <c r="M278" s="19">
        <v>5.5759999999999996</v>
      </c>
      <c r="N278" s="19">
        <v>6.0330000000000004</v>
      </c>
      <c r="O278" s="19">
        <v>5.6349999999999998</v>
      </c>
      <c r="P278" s="19">
        <v>5.8360000000000003</v>
      </c>
      <c r="Q278" s="19">
        <v>5.6230000000000002</v>
      </c>
      <c r="R278" s="40">
        <v>62.542000000000002</v>
      </c>
      <c r="S278">
        <v>0</v>
      </c>
      <c r="T278" s="40">
        <v>62.542000000000002</v>
      </c>
    </row>
    <row r="279" spans="1:20" ht="15">
      <c r="A279" s="66"/>
      <c r="B279" s="66"/>
      <c r="C279" s="66"/>
      <c r="D279" t="s">
        <v>55</v>
      </c>
      <c r="E279" t="s">
        <v>131</v>
      </c>
      <c r="F279" t="s">
        <v>53</v>
      </c>
      <c r="G279" t="s">
        <v>54</v>
      </c>
      <c r="H279" s="19">
        <v>7.45</v>
      </c>
      <c r="I279" s="19">
        <v>5.766</v>
      </c>
      <c r="J279" s="19">
        <v>5.5609999999999999</v>
      </c>
      <c r="K279" s="19">
        <v>5.6239999999999997</v>
      </c>
      <c r="L279" s="19">
        <v>5.298</v>
      </c>
      <c r="M279" s="19">
        <v>5.649</v>
      </c>
      <c r="N279" s="19">
        <v>5.625</v>
      </c>
      <c r="O279" s="19">
        <v>5.2720000000000002</v>
      </c>
      <c r="P279" s="19">
        <v>5.8220000000000001</v>
      </c>
      <c r="Q279" s="19">
        <v>5.181</v>
      </c>
      <c r="R279" s="40">
        <v>57.247999999999998</v>
      </c>
      <c r="S279">
        <v>0</v>
      </c>
      <c r="T279" s="40">
        <v>57.247999999999998</v>
      </c>
    </row>
    <row r="280" spans="1:20" ht="15">
      <c r="A280" s="66"/>
      <c r="B280" s="66"/>
      <c r="C280" s="66"/>
      <c r="D280" t="s">
        <v>121</v>
      </c>
      <c r="E280" t="s">
        <v>120</v>
      </c>
      <c r="F280" t="s">
        <v>119</v>
      </c>
      <c r="G280" t="s">
        <v>120</v>
      </c>
      <c r="H280" s="19">
        <v>8.2750000000000004</v>
      </c>
      <c r="I280" s="19">
        <v>5.7930000000000001</v>
      </c>
      <c r="J280" s="19">
        <v>5.97</v>
      </c>
      <c r="K280" s="19">
        <v>5.7770000000000001</v>
      </c>
      <c r="L280" s="19">
        <v>5.8789999999999996</v>
      </c>
      <c r="M280" s="19">
        <v>5.7370000000000001</v>
      </c>
      <c r="N280" s="19">
        <v>6.34</v>
      </c>
      <c r="O280" s="19">
        <v>5.6189999999999998</v>
      </c>
      <c r="P280" s="19">
        <v>6.0620000000000003</v>
      </c>
      <c r="Q280" s="19">
        <v>6.0270000000000001</v>
      </c>
      <c r="R280" s="40">
        <v>61.478999999999999</v>
      </c>
      <c r="S280">
        <v>0</v>
      </c>
      <c r="T280" s="40">
        <v>61.478999999999999</v>
      </c>
    </row>
    <row r="281" spans="1:20" ht="15">
      <c r="A281" s="66" t="s">
        <v>7</v>
      </c>
      <c r="B281" s="66">
        <v>6</v>
      </c>
      <c r="C281" s="66">
        <v>11</v>
      </c>
      <c r="D281" t="s">
        <v>177</v>
      </c>
      <c r="E281" t="s">
        <v>178</v>
      </c>
      <c r="F281" t="s">
        <v>45</v>
      </c>
      <c r="G281" t="s">
        <v>44</v>
      </c>
      <c r="H281" s="19">
        <v>9.8460000000000001</v>
      </c>
      <c r="I281" s="19">
        <v>7.6159999999999997</v>
      </c>
      <c r="J281" s="19">
        <v>6.3689999999999998</v>
      </c>
      <c r="K281" s="19">
        <v>6.3280000000000003</v>
      </c>
      <c r="L281" s="19">
        <v>6.7110000000000003</v>
      </c>
      <c r="M281" s="19">
        <v>6.758</v>
      </c>
      <c r="N281" s="19">
        <v>6.7640000000000002</v>
      </c>
      <c r="O281" s="19">
        <v>6.3070000000000004</v>
      </c>
      <c r="P281" s="19">
        <v>5.702</v>
      </c>
      <c r="Q281" s="19">
        <v>7.3819999999999997</v>
      </c>
      <c r="R281" s="40">
        <v>69.783000000000001</v>
      </c>
      <c r="S281">
        <v>0</v>
      </c>
      <c r="T281" s="40">
        <v>69.783000000000001</v>
      </c>
    </row>
    <row r="282" spans="1:20" ht="15">
      <c r="A282" s="66"/>
      <c r="B282" s="66"/>
      <c r="C282" s="66"/>
      <c r="D282" t="s">
        <v>140</v>
      </c>
      <c r="E282" t="s">
        <v>141</v>
      </c>
      <c r="F282" t="s">
        <v>61</v>
      </c>
      <c r="G282" t="s">
        <v>158</v>
      </c>
      <c r="H282" s="19" t="s">
        <v>316</v>
      </c>
      <c r="I282" s="19">
        <v>5.7039999999999997</v>
      </c>
      <c r="J282" s="19">
        <v>6.165</v>
      </c>
      <c r="K282" s="19">
        <v>5.8559999999999999</v>
      </c>
      <c r="L282" s="19">
        <v>5.7690000000000001</v>
      </c>
      <c r="M282" s="19">
        <v>6.2370000000000001</v>
      </c>
      <c r="N282" s="19">
        <v>5.8339999999999996</v>
      </c>
      <c r="O282" s="19">
        <v>5.7839999999999998</v>
      </c>
      <c r="P282" s="19">
        <v>5.7569999999999997</v>
      </c>
      <c r="Q282" s="19">
        <v>6.0209999999999999</v>
      </c>
      <c r="R282" s="40">
        <v>61.978999999999999</v>
      </c>
      <c r="S282">
        <v>1</v>
      </c>
      <c r="T282" s="40">
        <v>68.176900000000003</v>
      </c>
    </row>
    <row r="283" spans="1:20" ht="15">
      <c r="A283" s="66"/>
      <c r="B283" s="66"/>
      <c r="C283" s="66"/>
      <c r="D283" t="s">
        <v>134</v>
      </c>
      <c r="E283" t="s">
        <v>138</v>
      </c>
      <c r="F283" t="s">
        <v>134</v>
      </c>
      <c r="G283" t="s">
        <v>135</v>
      </c>
      <c r="H283" s="19">
        <v>8.6170000000000009</v>
      </c>
      <c r="I283" s="19">
        <v>6.54</v>
      </c>
      <c r="J283" s="19">
        <v>6.375</v>
      </c>
      <c r="K283" s="19">
        <v>6.34</v>
      </c>
      <c r="L283" s="19">
        <v>6.0119999999999996</v>
      </c>
      <c r="M283" s="19">
        <v>6.3360000000000003</v>
      </c>
      <c r="N283" s="19">
        <v>6.1449999999999996</v>
      </c>
      <c r="O283" s="19">
        <v>6.3129999999999997</v>
      </c>
      <c r="P283" s="19">
        <v>6.5990000000000002</v>
      </c>
      <c r="Q283" s="19">
        <v>6.2539999999999996</v>
      </c>
      <c r="R283" s="40">
        <v>65.531000000000006</v>
      </c>
      <c r="S283">
        <v>0</v>
      </c>
      <c r="T283" s="40">
        <v>65.531000000000006</v>
      </c>
    </row>
    <row r="284" spans="1:20" ht="15">
      <c r="A284" s="66" t="s">
        <v>31</v>
      </c>
      <c r="B284" s="66">
        <v>6</v>
      </c>
      <c r="C284" s="66">
        <v>1</v>
      </c>
      <c r="D284" t="s">
        <v>73</v>
      </c>
      <c r="E284" t="s">
        <v>161</v>
      </c>
      <c r="F284" t="s">
        <v>139</v>
      </c>
      <c r="G284" t="s">
        <v>50</v>
      </c>
      <c r="H284" s="19" t="s">
        <v>185</v>
      </c>
      <c r="I284" s="19" t="s">
        <v>185</v>
      </c>
      <c r="J284" s="19" t="s">
        <v>185</v>
      </c>
      <c r="K284" s="19" t="s">
        <v>185</v>
      </c>
      <c r="L284" s="19" t="s">
        <v>185</v>
      </c>
      <c r="M284" s="19" t="s">
        <v>185</v>
      </c>
      <c r="N284" s="19" t="s">
        <v>185</v>
      </c>
      <c r="O284" s="19" t="s">
        <v>185</v>
      </c>
      <c r="P284" s="19" t="s">
        <v>185</v>
      </c>
      <c r="Q284" s="19" t="s">
        <v>185</v>
      </c>
      <c r="R284" s="40" t="s">
        <v>185</v>
      </c>
      <c r="S284">
        <v>0</v>
      </c>
      <c r="T284" s="40">
        <v>200</v>
      </c>
    </row>
    <row r="285" spans="1:20" ht="15">
      <c r="A285" s="66"/>
      <c r="B285" s="66"/>
      <c r="C285" s="66"/>
      <c r="D285" t="s">
        <v>72</v>
      </c>
      <c r="E285" t="s">
        <v>152</v>
      </c>
      <c r="F285" t="s">
        <v>165</v>
      </c>
      <c r="G285" t="s">
        <v>152</v>
      </c>
      <c r="H285" s="19">
        <v>8.3629999999999995</v>
      </c>
      <c r="I285" s="19">
        <v>6.0389999999999997</v>
      </c>
      <c r="J285" s="19">
        <v>5.6219999999999999</v>
      </c>
      <c r="K285" s="19">
        <v>5.4589999999999996</v>
      </c>
      <c r="L285" s="19">
        <v>5.3120000000000003</v>
      </c>
      <c r="M285" s="19">
        <v>5.6820000000000004</v>
      </c>
      <c r="N285" s="19">
        <v>5.3159999999999998</v>
      </c>
      <c r="O285" s="19">
        <v>5.4029999999999996</v>
      </c>
      <c r="P285" s="19">
        <v>5.2949999999999999</v>
      </c>
      <c r="Q285" s="19">
        <v>5.3289999999999997</v>
      </c>
      <c r="R285" s="40">
        <v>57.82</v>
      </c>
      <c r="S285">
        <v>0</v>
      </c>
      <c r="T285" s="40">
        <v>57.82</v>
      </c>
    </row>
    <row r="286" spans="1:20" ht="15">
      <c r="A286" s="66"/>
      <c r="B286" s="66"/>
      <c r="C286" s="66"/>
      <c r="D286" t="s">
        <v>140</v>
      </c>
      <c r="E286" t="s">
        <v>141</v>
      </c>
      <c r="F286" t="s">
        <v>61</v>
      </c>
      <c r="G286" t="s">
        <v>158</v>
      </c>
      <c r="H286" s="19" t="s">
        <v>185</v>
      </c>
      <c r="I286" s="19" t="s">
        <v>185</v>
      </c>
      <c r="J286" s="19" t="s">
        <v>185</v>
      </c>
      <c r="K286" s="19" t="s">
        <v>185</v>
      </c>
      <c r="L286" s="19" t="s">
        <v>185</v>
      </c>
      <c r="M286" s="19" t="s">
        <v>185</v>
      </c>
      <c r="N286" s="19" t="s">
        <v>185</v>
      </c>
      <c r="O286" s="19" t="s">
        <v>185</v>
      </c>
      <c r="P286" s="19" t="s">
        <v>185</v>
      </c>
      <c r="Q286" s="19" t="s">
        <v>185</v>
      </c>
      <c r="R286" s="40" t="s">
        <v>185</v>
      </c>
      <c r="S286">
        <v>0</v>
      </c>
      <c r="T286" s="40">
        <v>200</v>
      </c>
    </row>
    <row r="287" spans="1:20" ht="15">
      <c r="A287" s="66" t="s">
        <v>31</v>
      </c>
      <c r="B287" s="66">
        <v>6</v>
      </c>
      <c r="C287" s="66">
        <v>2</v>
      </c>
      <c r="D287" t="s">
        <v>121</v>
      </c>
      <c r="E287" t="s">
        <v>120</v>
      </c>
      <c r="F287" t="s">
        <v>119</v>
      </c>
      <c r="G287" t="s">
        <v>120</v>
      </c>
      <c r="H287" s="19" t="s">
        <v>185</v>
      </c>
      <c r="I287" s="19" t="s">
        <v>185</v>
      </c>
      <c r="J287" s="19" t="s">
        <v>185</v>
      </c>
      <c r="K287" s="19" t="s">
        <v>185</v>
      </c>
      <c r="L287" s="19" t="s">
        <v>185</v>
      </c>
      <c r="M287" s="19" t="s">
        <v>185</v>
      </c>
      <c r="N287" s="19" t="s">
        <v>185</v>
      </c>
      <c r="O287" s="19" t="s">
        <v>185</v>
      </c>
      <c r="P287" s="19" t="s">
        <v>185</v>
      </c>
      <c r="Q287" s="19" t="s">
        <v>185</v>
      </c>
      <c r="R287" s="40" t="s">
        <v>185</v>
      </c>
      <c r="S287">
        <v>0</v>
      </c>
      <c r="T287" s="40">
        <v>200</v>
      </c>
    </row>
    <row r="288" spans="1:20" ht="15">
      <c r="A288" s="66"/>
      <c r="B288" s="66"/>
      <c r="C288" s="66"/>
      <c r="D288" t="s">
        <v>71</v>
      </c>
      <c r="E288" t="s">
        <v>162</v>
      </c>
      <c r="F288" t="s">
        <v>163</v>
      </c>
      <c r="G288" t="s">
        <v>69</v>
      </c>
      <c r="H288" s="19">
        <v>7.7910000000000004</v>
      </c>
      <c r="I288" s="19">
        <v>5.4409999999999998</v>
      </c>
      <c r="J288" s="19">
        <v>5.032</v>
      </c>
      <c r="K288" s="19">
        <v>5.2160000000000002</v>
      </c>
      <c r="L288" s="19">
        <v>5.4660000000000002</v>
      </c>
      <c r="M288" s="19">
        <v>5.1769999999999996</v>
      </c>
      <c r="N288" s="19">
        <v>5.1909999999999998</v>
      </c>
      <c r="O288" s="19">
        <v>5.1769999999999996</v>
      </c>
      <c r="P288" s="19">
        <v>4.9989999999999997</v>
      </c>
      <c r="Q288" s="19">
        <v>5.274</v>
      </c>
      <c r="R288" s="40">
        <v>54.764000000000003</v>
      </c>
      <c r="S288">
        <v>0</v>
      </c>
      <c r="T288" s="40">
        <v>54.764000000000003</v>
      </c>
    </row>
    <row r="289" spans="1:20" ht="15">
      <c r="A289" s="66"/>
      <c r="B289" s="66"/>
      <c r="C289" s="66"/>
      <c r="D289" t="s">
        <v>69</v>
      </c>
      <c r="E289" t="s">
        <v>70</v>
      </c>
      <c r="F289" t="s">
        <v>64</v>
      </c>
      <c r="G289" t="s">
        <v>164</v>
      </c>
      <c r="H289" s="19">
        <v>19.574999999999999</v>
      </c>
      <c r="I289" s="19">
        <v>5.6289999999999996</v>
      </c>
      <c r="J289" s="19">
        <v>5.19</v>
      </c>
      <c r="K289" s="19">
        <v>4.9720000000000004</v>
      </c>
      <c r="L289" s="19">
        <v>5.3259999999999996</v>
      </c>
      <c r="M289" s="19">
        <v>5.0380000000000003</v>
      </c>
      <c r="N289" s="19">
        <v>5.0190000000000001</v>
      </c>
      <c r="O289" s="19">
        <v>4.6970000000000001</v>
      </c>
      <c r="P289" s="19">
        <v>5.4569999999999999</v>
      </c>
      <c r="Q289" s="19">
        <v>5.6609999999999996</v>
      </c>
      <c r="R289" s="40">
        <v>66.563999999999993</v>
      </c>
      <c r="S289">
        <v>0</v>
      </c>
      <c r="T289" s="40">
        <v>66.563999999999993</v>
      </c>
    </row>
    <row r="290" spans="1:20" ht="15">
      <c r="A290" s="66" t="s">
        <v>31</v>
      </c>
      <c r="B290" s="66">
        <v>6</v>
      </c>
      <c r="C290" s="66">
        <v>3</v>
      </c>
      <c r="D290" t="s">
        <v>160</v>
      </c>
      <c r="E290" t="s">
        <v>159</v>
      </c>
      <c r="F290" t="s">
        <v>51</v>
      </c>
      <c r="G290" t="s">
        <v>183</v>
      </c>
      <c r="H290" s="19">
        <v>9.5869999999999997</v>
      </c>
      <c r="I290" s="19">
        <v>6.7060000000000004</v>
      </c>
      <c r="J290" s="19">
        <v>6.5949999999999998</v>
      </c>
      <c r="K290" s="19">
        <v>7.1470000000000002</v>
      </c>
      <c r="L290" s="19">
        <v>6.7510000000000003</v>
      </c>
      <c r="M290" s="19">
        <v>6.8540000000000001</v>
      </c>
      <c r="N290" s="19">
        <v>6.2190000000000003</v>
      </c>
      <c r="O290" s="19">
        <v>6.3369999999999997</v>
      </c>
      <c r="P290" s="19">
        <v>6.391</v>
      </c>
      <c r="Q290" s="19">
        <v>7.2690000000000001</v>
      </c>
      <c r="R290" s="40">
        <v>69.855999999999995</v>
      </c>
      <c r="S290">
        <v>0</v>
      </c>
      <c r="T290" s="40">
        <v>69.855999999999995</v>
      </c>
    </row>
    <row r="291" spans="1:20" ht="15">
      <c r="A291" s="66"/>
      <c r="B291" s="66"/>
      <c r="C291" s="66"/>
      <c r="D291" t="s">
        <v>59</v>
      </c>
      <c r="E291" t="s">
        <v>120</v>
      </c>
      <c r="F291" t="s">
        <v>119</v>
      </c>
      <c r="G291" t="s">
        <v>120</v>
      </c>
      <c r="H291" s="19">
        <v>9.2509999999999994</v>
      </c>
      <c r="I291" s="19">
        <v>6.3419999999999996</v>
      </c>
      <c r="J291" s="19">
        <v>5.548</v>
      </c>
      <c r="K291" s="19">
        <v>6.5540000000000003</v>
      </c>
      <c r="L291" s="19">
        <v>5.9390000000000001</v>
      </c>
      <c r="M291" s="19">
        <v>5.69</v>
      </c>
      <c r="N291" s="19" t="s">
        <v>317</v>
      </c>
      <c r="O291" s="19">
        <v>6.5049999999999999</v>
      </c>
      <c r="P291" s="19">
        <v>6.3070000000000004</v>
      </c>
      <c r="Q291" s="19">
        <v>6.4470000000000001</v>
      </c>
      <c r="R291" s="40">
        <v>63.996000000000002</v>
      </c>
      <c r="S291">
        <v>1</v>
      </c>
      <c r="T291" s="40">
        <v>70.395600000000002</v>
      </c>
    </row>
    <row r="292" spans="1:20" ht="15">
      <c r="A292" s="66"/>
      <c r="B292" s="66"/>
      <c r="C292" s="66"/>
      <c r="D292" t="s">
        <v>52</v>
      </c>
      <c r="E292" t="s">
        <v>125</v>
      </c>
      <c r="F292" t="s">
        <v>56</v>
      </c>
      <c r="G292" t="s">
        <v>57</v>
      </c>
      <c r="H292" s="19">
        <v>8.4179999999999993</v>
      </c>
      <c r="I292" s="19">
        <v>5.8979999999999997</v>
      </c>
      <c r="J292" s="19">
        <v>5.8070000000000004</v>
      </c>
      <c r="K292" s="19">
        <v>5.8639999999999999</v>
      </c>
      <c r="L292" s="19">
        <v>5.9989999999999997</v>
      </c>
      <c r="M292" s="19">
        <v>5.7549999999999999</v>
      </c>
      <c r="N292" s="19">
        <v>5.8</v>
      </c>
      <c r="O292" s="19">
        <v>5.657</v>
      </c>
      <c r="P292" s="19">
        <v>5.8710000000000004</v>
      </c>
      <c r="Q292" s="19">
        <v>5.944</v>
      </c>
      <c r="R292" s="40">
        <v>61.012999999999998</v>
      </c>
      <c r="S292">
        <v>0</v>
      </c>
      <c r="T292" s="40">
        <v>61.012999999999998</v>
      </c>
    </row>
    <row r="293" spans="1:20" ht="15">
      <c r="A293" s="66" t="s">
        <v>31</v>
      </c>
      <c r="B293" s="66">
        <v>6</v>
      </c>
      <c r="C293" s="66">
        <v>4</v>
      </c>
      <c r="D293" t="s">
        <v>50</v>
      </c>
      <c r="E293" t="s">
        <v>139</v>
      </c>
      <c r="F293" t="s">
        <v>49</v>
      </c>
      <c r="G293" t="s">
        <v>148</v>
      </c>
      <c r="H293" s="19">
        <v>9.1229999999999993</v>
      </c>
      <c r="I293" s="19">
        <v>6.657</v>
      </c>
      <c r="J293" s="19">
        <v>6.0190000000000001</v>
      </c>
      <c r="K293" s="19">
        <v>6.0430000000000001</v>
      </c>
      <c r="L293" s="19">
        <v>5.8310000000000004</v>
      </c>
      <c r="M293" s="19">
        <v>6.0469999999999997</v>
      </c>
      <c r="N293" s="19">
        <v>5.85</v>
      </c>
      <c r="O293" s="19">
        <v>5.9450000000000003</v>
      </c>
      <c r="P293" s="19">
        <v>6.3259999999999996</v>
      </c>
      <c r="Q293" s="19">
        <v>5.8559999999999999</v>
      </c>
      <c r="R293" s="40">
        <v>63.697000000000003</v>
      </c>
      <c r="S293">
        <v>0</v>
      </c>
      <c r="T293" s="40">
        <v>63.697000000000003</v>
      </c>
    </row>
    <row r="294" spans="1:20" ht="15">
      <c r="A294" s="66"/>
      <c r="B294" s="66"/>
      <c r="C294" s="66"/>
      <c r="D294" t="s">
        <v>40</v>
      </c>
      <c r="E294" t="s">
        <v>40</v>
      </c>
      <c r="F294" t="s">
        <v>41</v>
      </c>
      <c r="G294" t="s">
        <v>41</v>
      </c>
      <c r="H294" s="19" t="s">
        <v>185</v>
      </c>
      <c r="I294" s="19" t="s">
        <v>185</v>
      </c>
      <c r="J294" s="19" t="s">
        <v>185</v>
      </c>
      <c r="K294" s="19" t="s">
        <v>185</v>
      </c>
      <c r="L294" s="19" t="s">
        <v>185</v>
      </c>
      <c r="M294" s="19" t="s">
        <v>185</v>
      </c>
      <c r="N294" s="19" t="s">
        <v>185</v>
      </c>
      <c r="O294" s="19" t="s">
        <v>185</v>
      </c>
      <c r="P294" s="19" t="s">
        <v>185</v>
      </c>
      <c r="Q294" s="19" t="s">
        <v>185</v>
      </c>
      <c r="R294" s="40" t="s">
        <v>185</v>
      </c>
      <c r="S294">
        <v>0</v>
      </c>
      <c r="T294" s="40">
        <v>200</v>
      </c>
    </row>
    <row r="295" spans="1:20" ht="15">
      <c r="A295" s="66"/>
      <c r="B295" s="66"/>
      <c r="C295" s="66"/>
      <c r="D295" t="s">
        <v>61</v>
      </c>
      <c r="E295" t="s">
        <v>158</v>
      </c>
      <c r="F295" t="s">
        <v>140</v>
      </c>
      <c r="G295" t="s">
        <v>141</v>
      </c>
      <c r="H295" s="19">
        <v>8.7270000000000003</v>
      </c>
      <c r="I295" s="19">
        <v>6.0739999999999998</v>
      </c>
      <c r="J295" s="19">
        <v>6.4189999999999996</v>
      </c>
      <c r="K295" s="19">
        <v>5.7919999999999998</v>
      </c>
      <c r="L295" s="19">
        <v>5.9889999999999999</v>
      </c>
      <c r="M295" s="19">
        <v>5.6870000000000003</v>
      </c>
      <c r="N295" s="19">
        <v>5.85</v>
      </c>
      <c r="O295" s="19">
        <v>5.9189999999999996</v>
      </c>
      <c r="P295" s="19">
        <v>5.5970000000000004</v>
      </c>
      <c r="Q295" s="19">
        <v>5.2670000000000003</v>
      </c>
      <c r="R295" s="40">
        <v>61.320999999999998</v>
      </c>
      <c r="S295">
        <v>0</v>
      </c>
      <c r="T295" s="40">
        <v>61.320999999999998</v>
      </c>
    </row>
    <row r="296" spans="1:20" ht="15">
      <c r="A296" s="66"/>
      <c r="B296" s="66"/>
      <c r="C296" s="66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0"/>
      <c r="T296" s="40"/>
    </row>
    <row r="297" spans="1:20" ht="15">
      <c r="A297" s="66"/>
      <c r="B297" s="66"/>
      <c r="C297" s="66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0"/>
      <c r="T297" s="40"/>
    </row>
    <row r="298" spans="1:20" ht="15">
      <c r="A298" s="66"/>
      <c r="B298" s="66"/>
      <c r="C298" s="66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0"/>
      <c r="T298" s="40"/>
    </row>
    <row r="299" spans="1:20" ht="15">
      <c r="A299" s="66"/>
      <c r="B299" s="66"/>
      <c r="C299" s="66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0"/>
      <c r="T299" s="40"/>
    </row>
    <row r="300" spans="1:20" ht="15">
      <c r="A300" s="66"/>
      <c r="B300" s="66"/>
      <c r="C300" s="66"/>
    </row>
    <row r="301" spans="1:20" ht="15">
      <c r="A301" s="66"/>
      <c r="B301" s="66"/>
      <c r="C301" s="66"/>
    </row>
    <row r="302" spans="1:20" ht="15">
      <c r="A302" s="66"/>
      <c r="B302" s="66"/>
      <c r="C302" s="66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0"/>
      <c r="T302" s="40"/>
    </row>
    <row r="303" spans="1:20" ht="15">
      <c r="A303" s="66"/>
      <c r="B303" s="66"/>
      <c r="C303" s="66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0"/>
      <c r="T303" s="40"/>
    </row>
    <row r="304" spans="1:20" ht="15">
      <c r="A304" s="66"/>
      <c r="B304" s="66"/>
      <c r="C304" s="66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0"/>
      <c r="T304" s="40"/>
    </row>
    <row r="305" spans="1:20" ht="15">
      <c r="A305" s="66"/>
      <c r="B305" s="66"/>
      <c r="C305" s="66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0"/>
      <c r="T305" s="40"/>
    </row>
    <row r="306" spans="1:20" ht="15">
      <c r="A306" s="66"/>
      <c r="B306" s="66"/>
      <c r="C306" s="66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0"/>
      <c r="T306" s="40"/>
    </row>
    <row r="307" spans="1:20" ht="15">
      <c r="A307" s="66"/>
      <c r="B307" s="66"/>
      <c r="C307" s="66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0"/>
      <c r="T307" s="40"/>
    </row>
    <row r="308" spans="1:20" ht="15">
      <c r="A308" s="66"/>
      <c r="B308" s="66"/>
      <c r="C308" s="66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0"/>
      <c r="T308" s="40"/>
    </row>
    <row r="309" spans="1:20" ht="15">
      <c r="A309" s="66"/>
      <c r="B309" s="66"/>
      <c r="C309" s="66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0"/>
      <c r="T309" s="40"/>
    </row>
    <row r="310" spans="1:20" ht="15">
      <c r="A310" s="66"/>
      <c r="B310" s="66"/>
      <c r="C310" s="66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0"/>
      <c r="T310" s="40"/>
    </row>
    <row r="311" spans="1:20" ht="15">
      <c r="A311" s="66"/>
      <c r="B311" s="66"/>
      <c r="C311" s="66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5">
      <c r="A312" s="66"/>
      <c r="B312" s="66"/>
      <c r="C312" s="66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5">
      <c r="A313" s="66"/>
      <c r="B313" s="66"/>
      <c r="C313" s="66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5">
      <c r="A314" s="66"/>
      <c r="B314" s="66"/>
      <c r="C314" s="66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5">
      <c r="A315" s="66"/>
      <c r="B315" s="66"/>
      <c r="C315" s="66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0"/>
      <c r="T315" s="40"/>
    </row>
    <row r="316" spans="1:20" ht="15">
      <c r="A316" s="66"/>
      <c r="B316" s="66"/>
      <c r="C316" s="66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0"/>
      <c r="T316" s="40"/>
    </row>
    <row r="317" spans="1:20" ht="15">
      <c r="A317" s="66"/>
      <c r="B317" s="66"/>
      <c r="C317" s="66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5">
      <c r="A318" s="66"/>
      <c r="B318" s="66"/>
      <c r="C318" s="66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5">
      <c r="A319" s="66"/>
      <c r="B319" s="66"/>
      <c r="C319" s="66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5">
      <c r="A320" s="66"/>
      <c r="B320" s="66"/>
      <c r="C320" s="66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5">
      <c r="A321" s="66"/>
      <c r="B321" s="66"/>
      <c r="C321" s="66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5">
      <c r="A322" s="66"/>
      <c r="B322" s="66"/>
      <c r="C322" s="66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5">
      <c r="A323" s="66"/>
      <c r="B323" s="66"/>
      <c r="C323" s="66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5">
      <c r="A324" s="66"/>
      <c r="B324" s="66"/>
      <c r="C324" s="66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5">
      <c r="A325" s="66"/>
      <c r="B325" s="66"/>
      <c r="C325" s="66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5">
      <c r="A326" s="66"/>
      <c r="B326" s="66"/>
      <c r="C326" s="66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5">
      <c r="A327" s="66"/>
      <c r="B327" s="66"/>
      <c r="C327" s="66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5">
      <c r="A328" s="66"/>
      <c r="B328" s="66"/>
      <c r="C328" s="66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5">
      <c r="A329" s="66"/>
      <c r="B329" s="66"/>
      <c r="C329" s="66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5">
      <c r="A330" s="66"/>
      <c r="B330" s="66"/>
      <c r="C330" s="66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5">
      <c r="A331" s="66"/>
      <c r="B331" s="66"/>
      <c r="C331" s="66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5">
      <c r="A332" s="66"/>
      <c r="B332" s="66"/>
      <c r="C332" s="66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5">
      <c r="A333" s="66"/>
      <c r="B333" s="66"/>
      <c r="C333" s="66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5">
      <c r="A334" s="66"/>
      <c r="B334" s="66"/>
      <c r="C334" s="66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5">
      <c r="A335" s="66"/>
      <c r="B335" s="66"/>
      <c r="C335" s="66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5">
      <c r="A336" s="66"/>
      <c r="B336" s="66"/>
      <c r="C336" s="66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5">
      <c r="A337" s="66"/>
      <c r="B337" s="66"/>
      <c r="C337" s="66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5">
      <c r="A338" s="66"/>
      <c r="B338" s="66"/>
      <c r="C338" s="66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5">
      <c r="A339" s="66"/>
      <c r="B339" s="66"/>
      <c r="C339" s="66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5">
      <c r="A340" s="66"/>
      <c r="B340" s="66"/>
      <c r="C340" s="66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5">
      <c r="A341" s="66"/>
      <c r="B341" s="66"/>
      <c r="C341" s="66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5">
      <c r="A342" s="66"/>
      <c r="B342" s="66"/>
      <c r="C342" s="66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5">
      <c r="A343" s="66"/>
      <c r="B343" s="66"/>
      <c r="C343" s="66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5">
      <c r="A344" s="66"/>
      <c r="B344" s="66"/>
      <c r="C344" s="66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5">
      <c r="A345" s="66"/>
      <c r="B345" s="66"/>
      <c r="C345" s="66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5">
      <c r="A346" s="66"/>
      <c r="B346" s="66"/>
      <c r="C346" s="66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5">
      <c r="A347" s="66"/>
      <c r="B347" s="66"/>
      <c r="C347" s="66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5">
      <c r="A348" s="66"/>
      <c r="B348" s="66"/>
      <c r="C348" s="66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5">
      <c r="A349" s="66"/>
      <c r="B349" s="66"/>
      <c r="C349" s="66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5">
      <c r="A350" s="66"/>
      <c r="B350" s="66"/>
      <c r="C350" s="66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5">
      <c r="A351" s="66"/>
      <c r="B351" s="66"/>
      <c r="C351" s="66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5">
      <c r="A352" s="66"/>
      <c r="B352" s="66"/>
      <c r="C352" s="66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5">
      <c r="A353" s="66"/>
      <c r="B353" s="66"/>
      <c r="C353" s="66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5">
      <c r="A354" s="66"/>
      <c r="B354" s="66"/>
      <c r="C354" s="66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5">
      <c r="A355" s="66"/>
      <c r="B355" s="66"/>
      <c r="C355" s="66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5">
      <c r="A356" s="66"/>
      <c r="B356" s="66"/>
      <c r="C356" s="66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5">
      <c r="A357" s="66"/>
      <c r="B357" s="66"/>
      <c r="C357" s="66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5">
      <c r="A358" s="66"/>
      <c r="B358" s="66"/>
      <c r="C358" s="66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5">
      <c r="A359" s="66"/>
      <c r="B359" s="66"/>
      <c r="C359" s="66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5">
      <c r="A360" s="66"/>
      <c r="B360" s="66"/>
      <c r="C360" s="66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5">
      <c r="A361" s="66"/>
      <c r="B361" s="66"/>
      <c r="C361" s="66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5">
      <c r="A362" s="66"/>
      <c r="B362" s="66"/>
      <c r="C362" s="66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5">
      <c r="A363" s="66"/>
      <c r="B363" s="66"/>
      <c r="C363" s="66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5">
      <c r="A364" s="66"/>
      <c r="B364" s="66"/>
      <c r="C364" s="66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5">
      <c r="A365" s="66"/>
      <c r="B365" s="66"/>
      <c r="C365" s="66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5">
      <c r="A366" s="66"/>
      <c r="B366" s="66"/>
      <c r="C366" s="66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5">
      <c r="A367" s="66"/>
      <c r="B367" s="66"/>
      <c r="C367" s="66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5">
      <c r="A368" s="66"/>
      <c r="B368" s="66"/>
      <c r="C368" s="66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5">
      <c r="A369" s="66"/>
      <c r="B369" s="66"/>
      <c r="C369" s="66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5">
      <c r="A370" s="66"/>
      <c r="B370" s="66"/>
      <c r="C370" s="66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5">
      <c r="A371" s="66"/>
      <c r="B371" s="66"/>
      <c r="C371" s="66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5">
      <c r="A372" s="66"/>
      <c r="B372" s="66"/>
      <c r="C372" s="66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5">
      <c r="A373" s="66"/>
      <c r="B373" s="66"/>
      <c r="C373" s="66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5">
      <c r="A374" s="66"/>
      <c r="B374" s="66"/>
      <c r="C374" s="66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5">
      <c r="A375" s="66"/>
      <c r="B375" s="66"/>
      <c r="C375" s="66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5">
      <c r="A376" s="66"/>
      <c r="B376" s="66"/>
      <c r="C376" s="66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5">
      <c r="A377" s="66"/>
      <c r="B377" s="66"/>
      <c r="C377" s="66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5">
      <c r="A378" s="66"/>
      <c r="B378" s="66"/>
      <c r="C378" s="66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5">
      <c r="A379" s="66"/>
      <c r="B379" s="66"/>
      <c r="C379" s="66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5">
      <c r="A380" s="66"/>
      <c r="B380" s="66"/>
      <c r="C380" s="66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5">
      <c r="A381" s="66"/>
      <c r="B381" s="66"/>
      <c r="C381" s="66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5">
      <c r="A382" s="66"/>
      <c r="B382" s="66"/>
      <c r="C382" s="66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5">
      <c r="A383" s="66"/>
      <c r="B383" s="66"/>
      <c r="C383" s="66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5">
      <c r="A384" s="66"/>
      <c r="B384" s="66"/>
      <c r="C384" s="66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5">
      <c r="A385" s="66"/>
      <c r="B385" s="66"/>
      <c r="C385" s="66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5">
      <c r="A386" s="66"/>
      <c r="B386" s="66"/>
      <c r="C386" s="66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5">
      <c r="A387" s="66"/>
      <c r="B387" s="66"/>
      <c r="C387" s="66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5">
      <c r="A388" s="66"/>
      <c r="B388" s="66"/>
      <c r="C388" s="66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5">
      <c r="A389" s="66"/>
      <c r="B389" s="66"/>
      <c r="C389" s="66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5">
      <c r="A390" s="66"/>
      <c r="B390" s="66"/>
      <c r="C390" s="66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5">
      <c r="A391" s="66"/>
      <c r="B391" s="66"/>
      <c r="C391" s="66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5">
      <c r="A392" s="66"/>
      <c r="B392" s="66"/>
      <c r="C392" s="66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5">
      <c r="A393" s="66"/>
      <c r="B393" s="66"/>
      <c r="C393" s="66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5">
      <c r="A394" s="66"/>
      <c r="B394" s="66"/>
      <c r="C394" s="66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5">
      <c r="A395" s="66"/>
      <c r="B395" s="66"/>
      <c r="C395" s="66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5">
      <c r="A396" s="66"/>
      <c r="B396" s="66"/>
      <c r="C396" s="66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5">
      <c r="A397" s="66"/>
      <c r="B397" s="66"/>
      <c r="C397" s="66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5">
      <c r="A398" s="66"/>
      <c r="B398" s="66"/>
      <c r="C398" s="66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5">
      <c r="A399" s="66"/>
      <c r="B399" s="66"/>
      <c r="C399" s="66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5">
      <c r="A400" s="66"/>
      <c r="B400" s="66"/>
      <c r="C400" s="66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5">
      <c r="A401" s="66"/>
      <c r="B401" s="66"/>
      <c r="C401" s="66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5">
      <c r="A402" s="66"/>
      <c r="B402" s="66"/>
      <c r="C402" s="66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5">
      <c r="A403" s="66"/>
      <c r="B403" s="66"/>
      <c r="C403" s="66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5">
      <c r="A404" s="66"/>
      <c r="B404" s="66"/>
      <c r="C404" s="66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5">
      <c r="A405" s="66"/>
      <c r="B405" s="66"/>
      <c r="C405" s="66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5">
      <c r="A406" s="66"/>
      <c r="B406" s="66"/>
      <c r="C406" s="66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5">
      <c r="A407" s="66"/>
      <c r="B407" s="66"/>
      <c r="C407" s="66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5">
      <c r="A408" s="66"/>
      <c r="B408" s="66"/>
      <c r="C408" s="66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5">
      <c r="A409" s="66"/>
      <c r="B409" s="66"/>
      <c r="C409" s="66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5">
      <c r="A410" s="66"/>
      <c r="B410" s="66"/>
      <c r="C410" s="66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5">
      <c r="A411" s="66"/>
      <c r="B411" s="66"/>
      <c r="C411" s="66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5">
      <c r="A412" s="66"/>
      <c r="B412" s="66"/>
      <c r="C412" s="66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5">
      <c r="A413" s="66"/>
      <c r="B413" s="66"/>
      <c r="C413" s="66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5">
      <c r="A414" s="66"/>
      <c r="B414" s="66"/>
      <c r="C414" s="66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5">
      <c r="A415" s="66"/>
      <c r="B415" s="66"/>
      <c r="C415" s="66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5">
      <c r="A416" s="66"/>
      <c r="B416" s="66"/>
      <c r="C416" s="66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5">
      <c r="A417" s="66"/>
      <c r="B417" s="66"/>
      <c r="C417" s="66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5">
      <c r="A418" s="66"/>
      <c r="B418" s="66"/>
      <c r="C418" s="66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5">
      <c r="A419" s="66"/>
      <c r="B419" s="66"/>
      <c r="C419" s="66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5">
      <c r="A420" s="66"/>
      <c r="B420" s="66"/>
      <c r="C420" s="66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5">
      <c r="A421" s="66"/>
      <c r="B421" s="66"/>
      <c r="C421" s="66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5">
      <c r="A422" s="66"/>
      <c r="B422" s="66"/>
      <c r="C422" s="66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5">
      <c r="A423" s="66"/>
      <c r="B423" s="66"/>
      <c r="C423" s="66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5">
      <c r="A424" s="66"/>
      <c r="B424" s="66"/>
      <c r="C424" s="66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5">
      <c r="A425" s="66"/>
      <c r="B425" s="66"/>
      <c r="C425" s="66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5">
      <c r="A426" s="66"/>
      <c r="B426" s="66"/>
      <c r="C426" s="66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5">
      <c r="A427" s="66"/>
      <c r="B427" s="66"/>
      <c r="C427" s="66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5">
      <c r="A428" s="66"/>
      <c r="B428" s="66"/>
      <c r="C428" s="66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5">
      <c r="A429" s="66"/>
      <c r="B429" s="66"/>
      <c r="C429" s="66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5">
      <c r="A430" s="66"/>
      <c r="B430" s="66"/>
      <c r="C430" s="66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5">
      <c r="A431" s="66"/>
      <c r="B431" s="66"/>
      <c r="C431" s="66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5">
      <c r="A432" s="66"/>
      <c r="B432" s="66"/>
      <c r="C432" s="66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5">
      <c r="A433" s="66"/>
      <c r="B433" s="66"/>
      <c r="C433" s="66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5">
      <c r="A434" s="66"/>
      <c r="B434" s="66"/>
      <c r="C434" s="66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5">
      <c r="A435" s="66"/>
      <c r="B435" s="66"/>
      <c r="C435" s="66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5">
      <c r="A436" s="66"/>
      <c r="B436" s="66"/>
      <c r="C436" s="66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5">
      <c r="A437" s="66"/>
      <c r="B437" s="66"/>
      <c r="C437" s="66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5">
      <c r="A438" s="66"/>
      <c r="B438" s="66"/>
      <c r="C438" s="66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5">
      <c r="A439" s="66"/>
      <c r="B439" s="66"/>
      <c r="C439" s="66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5">
      <c r="A440" s="66"/>
      <c r="B440" s="66"/>
      <c r="C440" s="66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5">
      <c r="A441" s="66"/>
      <c r="B441" s="66"/>
      <c r="C441" s="66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5">
      <c r="A442" s="66"/>
      <c r="B442" s="66"/>
      <c r="C442" s="66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5">
      <c r="A443" s="66"/>
      <c r="B443" s="66"/>
      <c r="C443" s="66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5">
      <c r="A444" s="66"/>
      <c r="B444" s="66"/>
      <c r="C444" s="66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5">
      <c r="A445" s="66"/>
      <c r="B445" s="66"/>
      <c r="C445" s="66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5">
      <c r="A446" s="66"/>
      <c r="B446" s="66"/>
      <c r="C446" s="66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5">
      <c r="A447" s="66"/>
      <c r="B447" s="66"/>
      <c r="C447" s="66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5">
      <c r="A448" s="66"/>
      <c r="B448" s="66"/>
      <c r="C448" s="66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5">
      <c r="A449" s="66"/>
      <c r="B449" s="66"/>
      <c r="C449" s="66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5">
      <c r="A450" s="66"/>
      <c r="B450" s="66"/>
      <c r="C450" s="66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5">
      <c r="A451" s="66"/>
      <c r="B451" s="66"/>
      <c r="C451" s="66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5">
      <c r="A452" s="66"/>
      <c r="B452" s="66"/>
      <c r="C452" s="66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5">
      <c r="A453" s="66"/>
      <c r="B453" s="66"/>
      <c r="C453" s="66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5">
      <c r="A454" s="66"/>
      <c r="B454" s="66"/>
      <c r="C454" s="66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5">
      <c r="A455" s="66"/>
      <c r="B455" s="66"/>
      <c r="C455" s="66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5">
      <c r="A456" s="66"/>
      <c r="B456" s="66"/>
      <c r="C456" s="66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5">
      <c r="A457" s="66"/>
      <c r="B457" s="66"/>
      <c r="C457" s="66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5">
      <c r="A458" s="66"/>
      <c r="B458" s="66"/>
      <c r="C458" s="66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5">
      <c r="A459" s="66"/>
      <c r="B459" s="66"/>
      <c r="C459" s="66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5">
      <c r="A460" s="66"/>
      <c r="B460" s="66"/>
      <c r="C460" s="66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5">
      <c r="A461" s="66"/>
      <c r="B461" s="66"/>
      <c r="C461" s="66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5">
      <c r="A462" s="66"/>
      <c r="B462" s="66"/>
      <c r="C462" s="66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5">
      <c r="A463" s="66"/>
      <c r="B463" s="66"/>
      <c r="C463" s="66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5">
      <c r="A464" s="66"/>
      <c r="B464" s="66"/>
      <c r="C464" s="66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5">
      <c r="A465" s="66"/>
      <c r="B465" s="66"/>
      <c r="C465" s="66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5">
      <c r="A466" s="66"/>
      <c r="B466" s="66"/>
      <c r="C466" s="66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5">
      <c r="A467" s="66"/>
      <c r="B467" s="66"/>
      <c r="C467" s="66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5">
      <c r="A468" s="66"/>
      <c r="B468" s="66"/>
      <c r="C468" s="66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5">
      <c r="A469" s="66"/>
      <c r="B469" s="66"/>
      <c r="C469" s="66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5">
      <c r="A470" s="66"/>
      <c r="B470" s="66"/>
      <c r="C470" s="66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5">
      <c r="A471" s="66"/>
      <c r="B471" s="66"/>
      <c r="C471" s="66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5">
      <c r="A472" s="66"/>
      <c r="B472" s="66"/>
      <c r="C472" s="66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5">
      <c r="A473" s="66"/>
      <c r="B473" s="66"/>
      <c r="C473" s="66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5">
      <c r="A474" s="66"/>
      <c r="B474" s="66"/>
      <c r="C474" s="66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5">
      <c r="A475" s="66"/>
      <c r="B475" s="66"/>
      <c r="C475" s="66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5">
      <c r="A476" s="66"/>
      <c r="B476" s="66"/>
      <c r="C476" s="66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5">
      <c r="A477" s="66"/>
      <c r="B477" s="66"/>
      <c r="C477" s="66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5">
      <c r="A478" s="66"/>
      <c r="B478" s="66"/>
      <c r="C478" s="66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5">
      <c r="A479" s="66"/>
      <c r="B479" s="66"/>
      <c r="C479" s="66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5">
      <c r="A480" s="66"/>
      <c r="B480" s="66"/>
      <c r="C480" s="66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5">
      <c r="A481" s="66"/>
      <c r="B481" s="66"/>
      <c r="C481" s="66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5">
      <c r="A482" s="66"/>
      <c r="B482" s="66"/>
      <c r="C482" s="66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5">
      <c r="A483" s="66"/>
      <c r="B483" s="66"/>
      <c r="C483" s="66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5">
      <c r="A484" s="66"/>
      <c r="B484" s="66"/>
      <c r="C484" s="66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5">
      <c r="A485" s="66"/>
      <c r="B485" s="66"/>
      <c r="C485" s="66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5">
      <c r="A486" s="66"/>
      <c r="B486" s="66"/>
      <c r="C486" s="66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5">
      <c r="A487" s="66"/>
      <c r="B487" s="66"/>
      <c r="C487" s="66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5">
      <c r="A488" s="66"/>
      <c r="B488" s="66"/>
      <c r="C488" s="66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5">
      <c r="A489" s="66"/>
      <c r="B489" s="66"/>
      <c r="C489" s="66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5">
      <c r="A490" s="66"/>
      <c r="B490" s="66"/>
      <c r="C490" s="66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5">
      <c r="A491" s="66"/>
      <c r="B491" s="66"/>
      <c r="C491" s="66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5">
      <c r="A492" s="66"/>
      <c r="B492" s="66"/>
      <c r="C492" s="66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5">
      <c r="A493" s="66"/>
      <c r="B493" s="66"/>
      <c r="C493" s="66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5">
      <c r="A494" s="66"/>
      <c r="B494" s="66"/>
      <c r="C494" s="66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5">
      <c r="A495" s="66"/>
      <c r="B495" s="66"/>
      <c r="C495" s="66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5">
      <c r="A496" s="66"/>
      <c r="B496" s="66"/>
      <c r="C496" s="66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5">
      <c r="A497" s="66"/>
      <c r="B497" s="66"/>
      <c r="C497" s="66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5">
      <c r="A498" s="66"/>
      <c r="B498" s="66"/>
      <c r="C498" s="66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5">
      <c r="A499" s="66"/>
      <c r="B499" s="66"/>
      <c r="C499" s="66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5">
      <c r="A500" s="66"/>
      <c r="B500" s="66"/>
      <c r="C500" s="66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5">
      <c r="A501" s="66"/>
      <c r="B501" s="66"/>
      <c r="C501" s="66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5">
      <c r="A502" s="66"/>
      <c r="B502" s="66"/>
      <c r="C502" s="66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5">
      <c r="A503" s="66"/>
      <c r="B503" s="66"/>
      <c r="C503" s="66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5">
      <c r="A504" s="66"/>
      <c r="B504" s="66"/>
      <c r="C504" s="66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5">
      <c r="A505" s="66"/>
      <c r="B505" s="66"/>
      <c r="C505" s="66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5">
      <c r="A506" s="66"/>
      <c r="B506" s="66"/>
      <c r="C506" s="66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5">
      <c r="A507" s="66"/>
      <c r="B507" s="66"/>
      <c r="C507" s="66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5">
      <c r="A508" s="66"/>
      <c r="B508" s="66"/>
      <c r="C508" s="66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5">
      <c r="A509" s="66"/>
      <c r="B509" s="66"/>
      <c r="C509" s="66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5">
      <c r="A510" s="66"/>
      <c r="B510" s="66"/>
      <c r="C510" s="66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5">
      <c r="A511" s="66"/>
      <c r="B511" s="66"/>
      <c r="C511" s="66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5">
      <c r="A512" s="66"/>
      <c r="B512" s="66"/>
      <c r="C512" s="66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5">
      <c r="A513" s="66"/>
      <c r="B513" s="66"/>
      <c r="C513" s="66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5">
      <c r="A514" s="66"/>
      <c r="B514" s="66"/>
      <c r="C514" s="66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5">
      <c r="A515" s="66"/>
      <c r="B515" s="66"/>
      <c r="C515" s="66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5">
      <c r="A516" s="66"/>
      <c r="B516" s="66"/>
      <c r="C516" s="66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5">
      <c r="A517" s="66"/>
      <c r="B517" s="66"/>
      <c r="C517" s="66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5">
      <c r="A518" s="66"/>
      <c r="B518" s="66"/>
      <c r="C518" s="66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5">
      <c r="A519" s="66"/>
      <c r="B519" s="66"/>
      <c r="C519" s="66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5">
      <c r="A520" s="66"/>
      <c r="B520" s="66"/>
      <c r="C520" s="66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5">
      <c r="A521" s="66"/>
      <c r="B521" s="66"/>
      <c r="C521" s="66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5">
      <c r="A522" s="66"/>
      <c r="B522" s="66"/>
      <c r="C522" s="66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5">
      <c r="A523" s="66"/>
      <c r="B523" s="66"/>
      <c r="C523" s="66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5">
      <c r="A524" s="66"/>
      <c r="B524" s="66"/>
      <c r="C524" s="66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5">
      <c r="A525" s="66"/>
      <c r="B525" s="66"/>
      <c r="C525" s="66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5">
      <c r="A526" s="66"/>
      <c r="B526" s="66"/>
      <c r="C526" s="66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5">
      <c r="A527" s="66"/>
      <c r="B527" s="66"/>
      <c r="C527" s="66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5">
      <c r="A528" s="66"/>
      <c r="B528" s="66"/>
      <c r="C528" s="66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5">
      <c r="A529" s="66"/>
      <c r="B529" s="66"/>
      <c r="C529" s="66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5">
      <c r="A530" s="66"/>
      <c r="B530" s="66"/>
      <c r="C530" s="66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5">
      <c r="A531" s="66"/>
      <c r="B531" s="66"/>
      <c r="C531" s="66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5">
      <c r="A532" s="66"/>
      <c r="B532" s="66"/>
      <c r="C532" s="66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5">
      <c r="A533" s="66"/>
      <c r="B533" s="66"/>
      <c r="C533" s="66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5">
      <c r="A534" s="66"/>
      <c r="B534" s="66"/>
      <c r="C534" s="66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5">
      <c r="A535" s="66"/>
      <c r="B535" s="66"/>
      <c r="C535" s="66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5">
      <c r="A536" s="66"/>
      <c r="B536" s="66"/>
      <c r="C536" s="66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5">
      <c r="A537" s="66"/>
      <c r="B537" s="66"/>
      <c r="C537" s="66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5">
      <c r="A538" s="66"/>
      <c r="B538" s="66"/>
      <c r="C538" s="66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5">
      <c r="A539" s="66"/>
      <c r="B539" s="66"/>
      <c r="C539" s="66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5">
      <c r="A540" s="66"/>
      <c r="B540" s="66"/>
      <c r="C540" s="66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5">
      <c r="A541" s="66"/>
      <c r="B541" s="66"/>
      <c r="C541" s="66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5">
      <c r="A542" s="66"/>
      <c r="B542" s="66"/>
      <c r="C542" s="66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5">
      <c r="A543" s="66"/>
      <c r="B543" s="66"/>
      <c r="C543" s="66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5">
      <c r="A544" s="66"/>
      <c r="B544" s="66"/>
      <c r="C544" s="66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5">
      <c r="A545" s="66"/>
      <c r="B545" s="66"/>
      <c r="C545" s="66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5">
      <c r="A546" s="66"/>
      <c r="B546" s="66"/>
      <c r="C546" s="66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5">
      <c r="A547" s="66"/>
      <c r="B547" s="66"/>
      <c r="C547" s="66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5">
      <c r="A548" s="66"/>
      <c r="B548" s="66"/>
      <c r="C548" s="66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5">
      <c r="A549" s="66"/>
      <c r="B549" s="66"/>
      <c r="C549" s="66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5">
      <c r="A550" s="66"/>
      <c r="B550" s="66"/>
      <c r="C550" s="66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5">
      <c r="A551" s="66"/>
      <c r="B551" s="66"/>
      <c r="C551" s="66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5">
      <c r="A552" s="66"/>
      <c r="B552" s="66"/>
      <c r="C552" s="66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5">
      <c r="A553" s="66"/>
      <c r="B553" s="66"/>
      <c r="C553" s="66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5">
      <c r="A554" s="66"/>
      <c r="B554" s="66"/>
      <c r="C554" s="66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5">
      <c r="A555" s="66"/>
      <c r="B555" s="66"/>
      <c r="C555" s="66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5">
      <c r="A556" s="66"/>
      <c r="B556" s="66"/>
      <c r="C556" s="66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5">
      <c r="A557" s="66"/>
      <c r="B557" s="66"/>
      <c r="C557" s="66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5">
      <c r="A558" s="66"/>
      <c r="B558" s="66"/>
      <c r="C558" s="66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5">
      <c r="A559" s="66"/>
      <c r="B559" s="66"/>
      <c r="C559" s="66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5">
      <c r="A560" s="66"/>
      <c r="B560" s="66"/>
      <c r="C560" s="66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5">
      <c r="A561" s="66"/>
      <c r="B561" s="66"/>
      <c r="C561" s="66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5">
      <c r="A562" s="66"/>
      <c r="B562" s="66"/>
      <c r="C562" s="66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5">
      <c r="A563" s="66"/>
      <c r="B563" s="66"/>
      <c r="C563" s="66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5">
      <c r="A564" s="66"/>
      <c r="B564" s="66"/>
      <c r="C564" s="66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5">
      <c r="A565" s="66"/>
      <c r="B565" s="66"/>
      <c r="C565" s="66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5">
      <c r="A566" s="66"/>
      <c r="B566" s="66"/>
      <c r="C566" s="66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5">
      <c r="A567" s="66"/>
      <c r="B567" s="66"/>
      <c r="C567" s="66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5">
      <c r="A568" s="66"/>
      <c r="B568" s="66"/>
      <c r="C568" s="66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5">
      <c r="A569" s="66"/>
      <c r="B569" s="66"/>
      <c r="C569" s="66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5">
      <c r="A570" s="66"/>
      <c r="B570" s="66"/>
      <c r="C570" s="66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5">
      <c r="A571" s="66"/>
      <c r="B571" s="66"/>
      <c r="C571" s="66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5">
      <c r="A572" s="66"/>
      <c r="B572" s="66"/>
      <c r="C572" s="66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5">
      <c r="A573" s="66"/>
      <c r="B573" s="66"/>
      <c r="C573" s="66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5">
      <c r="A574" s="66"/>
      <c r="B574" s="66"/>
      <c r="C574" s="66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5">
      <c r="A575" s="66"/>
      <c r="B575" s="66"/>
      <c r="C575" s="66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5">
      <c r="A576" s="66"/>
      <c r="B576" s="66"/>
      <c r="C576" s="66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5">
      <c r="A577" s="66"/>
      <c r="B577" s="66"/>
      <c r="C577" s="66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5">
      <c r="A578" s="66"/>
      <c r="B578" s="66"/>
      <c r="C578" s="66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5">
      <c r="A579" s="66"/>
      <c r="B579" s="66"/>
      <c r="C579" s="66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5">
      <c r="A580" s="66"/>
      <c r="B580" s="66"/>
      <c r="C580" s="66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5">
      <c r="A581" s="66"/>
      <c r="B581" s="66"/>
      <c r="C581" s="66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5">
      <c r="A582" s="66"/>
      <c r="B582" s="66"/>
      <c r="C582" s="66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5">
      <c r="A583" s="66"/>
      <c r="B583" s="66"/>
      <c r="C583" s="66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5">
      <c r="A584" s="66"/>
      <c r="B584" s="66"/>
      <c r="C584" s="66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5">
      <c r="A585" s="66"/>
      <c r="B585" s="66"/>
      <c r="C585" s="66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5">
      <c r="A586" s="66"/>
      <c r="B586" s="66"/>
      <c r="C586" s="66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5">
      <c r="A587" s="66"/>
      <c r="B587" s="66"/>
      <c r="C587" s="66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5">
      <c r="A588" s="66"/>
      <c r="B588" s="66"/>
      <c r="C588" s="66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5">
      <c r="A589" s="66"/>
      <c r="B589" s="66"/>
      <c r="C589" s="66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5">
      <c r="A590" s="66"/>
      <c r="B590" s="66"/>
      <c r="C590" s="66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5">
      <c r="A591" s="66"/>
      <c r="B591" s="66"/>
      <c r="C591" s="66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5">
      <c r="A592" s="66"/>
      <c r="B592" s="66"/>
      <c r="C592" s="66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5">
      <c r="A593" s="66"/>
      <c r="B593" s="66"/>
      <c r="C593" s="66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5">
      <c r="A594" s="66"/>
      <c r="B594" s="66"/>
      <c r="C594" s="66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5">
      <c r="A595" s="66"/>
      <c r="B595" s="66"/>
      <c r="C595" s="66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5">
      <c r="A596" s="66"/>
      <c r="B596" s="66"/>
      <c r="C596" s="66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5">
      <c r="A597" s="66"/>
      <c r="B597" s="66"/>
      <c r="C597" s="66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5">
      <c r="A598" s="66"/>
      <c r="B598" s="66"/>
      <c r="C598" s="66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5">
      <c r="A599" s="66"/>
      <c r="B599" s="66"/>
      <c r="C599" s="66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5">
      <c r="A600" s="66"/>
      <c r="B600" s="66"/>
      <c r="C600" s="66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5">
      <c r="A601" s="66"/>
      <c r="B601" s="66"/>
      <c r="C601" s="66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5">
      <c r="A602" s="66"/>
      <c r="B602" s="66"/>
      <c r="C602" s="66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5">
      <c r="A603" s="66"/>
      <c r="B603" s="66"/>
      <c r="C603" s="66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5">
      <c r="A604" s="66"/>
      <c r="B604" s="66"/>
      <c r="C604" s="66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5">
      <c r="A605" s="66"/>
      <c r="B605" s="66"/>
      <c r="C605" s="66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5">
      <c r="A606" s="66"/>
      <c r="B606" s="66"/>
      <c r="C606" s="66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5">
      <c r="A607" s="66"/>
      <c r="B607" s="66"/>
      <c r="C607" s="66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5">
      <c r="A608" s="66"/>
      <c r="B608" s="66"/>
      <c r="C608" s="66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5">
      <c r="A609" s="66"/>
      <c r="B609" s="66"/>
      <c r="C609" s="66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5">
      <c r="A610" s="66"/>
      <c r="B610" s="66"/>
      <c r="C610" s="66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5">
      <c r="A611" s="66"/>
      <c r="B611" s="66"/>
      <c r="C611" s="66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5">
      <c r="A612" s="66"/>
      <c r="B612" s="66"/>
      <c r="C612" s="66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5">
      <c r="A613" s="66"/>
      <c r="B613" s="66"/>
      <c r="C613" s="66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5">
      <c r="A614" s="66"/>
      <c r="B614" s="66"/>
      <c r="C614" s="66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5">
      <c r="A615" s="66"/>
      <c r="B615" s="66"/>
      <c r="C615" s="66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5">
      <c r="A616" s="66"/>
      <c r="B616" s="66"/>
      <c r="C616" s="66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5">
      <c r="A617" s="66"/>
      <c r="B617" s="66"/>
      <c r="C617" s="66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5">
      <c r="A618" s="66"/>
      <c r="B618" s="66"/>
      <c r="C618" s="66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5">
      <c r="A619" s="66"/>
      <c r="B619" s="66"/>
      <c r="C619" s="66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5">
      <c r="A620" s="66"/>
      <c r="B620" s="66"/>
      <c r="C620" s="66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5">
      <c r="A621" s="66"/>
      <c r="B621" s="66"/>
      <c r="C621" s="66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5">
      <c r="A622" s="66"/>
      <c r="B622" s="66"/>
      <c r="C622" s="66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5">
      <c r="A623" s="66"/>
      <c r="B623" s="66"/>
      <c r="C623" s="66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5">
      <c r="A624" s="66"/>
      <c r="B624" s="66"/>
      <c r="C624" s="66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5">
      <c r="A625" s="66"/>
      <c r="B625" s="66"/>
      <c r="C625" s="66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5">
      <c r="A626" s="66"/>
      <c r="B626" s="66"/>
      <c r="C626" s="66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5">
      <c r="A627" s="66"/>
      <c r="B627" s="66"/>
      <c r="C627" s="66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5">
      <c r="A628" s="66"/>
      <c r="B628" s="66"/>
      <c r="C628" s="66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5">
      <c r="A629" s="66"/>
      <c r="B629" s="66"/>
      <c r="C629" s="66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5">
      <c r="A630" s="66"/>
      <c r="B630" s="66"/>
      <c r="C630" s="66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5">
      <c r="A631" s="66"/>
      <c r="B631" s="66"/>
      <c r="C631" s="66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5">
      <c r="A632" s="66"/>
      <c r="B632" s="66"/>
      <c r="C632" s="66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5">
      <c r="A633" s="66"/>
      <c r="B633" s="66"/>
      <c r="C633" s="66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5">
      <c r="A634" s="66"/>
      <c r="B634" s="66"/>
      <c r="C634" s="66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5">
      <c r="A635" s="66"/>
      <c r="B635" s="66"/>
      <c r="C635" s="66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5">
      <c r="A636" s="66"/>
      <c r="B636" s="66"/>
      <c r="C636" s="66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5">
      <c r="A637" s="66"/>
      <c r="B637" s="66"/>
      <c r="C637" s="66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5">
      <c r="A638" s="66"/>
      <c r="B638" s="66"/>
      <c r="C638" s="66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5">
      <c r="A639" s="66"/>
      <c r="B639" s="66"/>
      <c r="C639" s="66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5">
      <c r="A640" s="66"/>
      <c r="B640" s="66"/>
      <c r="C640" s="66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5">
      <c r="A641" s="66"/>
      <c r="B641" s="66"/>
      <c r="C641" s="66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5">
      <c r="A642" s="66"/>
      <c r="B642" s="66"/>
      <c r="C642" s="66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5">
      <c r="A643" s="66"/>
      <c r="B643" s="66"/>
      <c r="C643" s="66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5">
      <c r="A644" s="66"/>
      <c r="B644" s="66"/>
      <c r="C644" s="66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5">
      <c r="A645" s="66"/>
      <c r="B645" s="66"/>
      <c r="C645" s="66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5">
      <c r="A646" s="66"/>
      <c r="B646" s="66"/>
      <c r="C646" s="66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5">
      <c r="A647" s="66"/>
      <c r="B647" s="66"/>
      <c r="C647" s="66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5">
      <c r="A648" s="66"/>
      <c r="B648" s="66"/>
      <c r="C648" s="66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5">
      <c r="A649" s="66"/>
      <c r="B649" s="66"/>
      <c r="C649" s="66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5">
      <c r="A650" s="66"/>
      <c r="B650" s="66"/>
      <c r="C650" s="66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5">
      <c r="A651" s="66"/>
      <c r="B651" s="66"/>
      <c r="C651" s="66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5">
      <c r="A652" s="66"/>
      <c r="B652" s="66"/>
      <c r="C652" s="66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5">
      <c r="A653" s="66"/>
      <c r="B653" s="66"/>
      <c r="C653" s="66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5">
      <c r="A654" s="66"/>
      <c r="B654" s="66"/>
      <c r="C654" s="66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5">
      <c r="A655" s="66"/>
      <c r="B655" s="66"/>
      <c r="C655" s="66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5">
      <c r="A656" s="66"/>
      <c r="B656" s="66"/>
      <c r="C656" s="66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5">
      <c r="A657" s="66"/>
      <c r="B657" s="66"/>
      <c r="C657" s="66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5">
      <c r="A658" s="66"/>
      <c r="B658" s="66"/>
      <c r="C658" s="66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5">
      <c r="A659" s="66"/>
      <c r="B659" s="66"/>
      <c r="C659" s="66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5">
      <c r="A660" s="66"/>
      <c r="B660" s="66"/>
      <c r="C660" s="66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5">
      <c r="A661" s="66"/>
      <c r="B661" s="66"/>
      <c r="C661" s="66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5">
      <c r="A662" s="66"/>
      <c r="B662" s="66"/>
      <c r="C662" s="66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5">
      <c r="A663" s="66"/>
      <c r="B663" s="66"/>
      <c r="C663" s="66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5">
      <c r="A664" s="66"/>
      <c r="B664" s="66"/>
      <c r="C664" s="66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5">
      <c r="A665" s="66"/>
      <c r="B665" s="66"/>
      <c r="C665" s="66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5">
      <c r="A666" s="66"/>
      <c r="B666" s="66"/>
      <c r="C666" s="66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5">
      <c r="A667" s="66"/>
      <c r="B667" s="66"/>
      <c r="C667" s="66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5">
      <c r="A668" s="66"/>
      <c r="B668" s="66"/>
      <c r="C668" s="66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5">
      <c r="A669" s="66"/>
      <c r="B669" s="66"/>
      <c r="C669" s="66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5">
      <c r="A670" s="66"/>
      <c r="B670" s="66"/>
      <c r="C670" s="66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5">
      <c r="A671" s="66"/>
      <c r="B671" s="66"/>
      <c r="C671" s="66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5">
      <c r="A672" s="66"/>
      <c r="B672" s="66"/>
      <c r="C672" s="66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5">
      <c r="A673" s="66"/>
      <c r="B673" s="66"/>
      <c r="C673" s="66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5">
      <c r="A674" s="66"/>
      <c r="B674" s="66"/>
      <c r="C674" s="66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5">
      <c r="A675" s="66"/>
      <c r="B675" s="66"/>
      <c r="C675" s="66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5">
      <c r="A676" s="66"/>
      <c r="B676" s="66"/>
      <c r="C676" s="66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5">
      <c r="A677" s="66"/>
      <c r="B677" s="66"/>
      <c r="C677" s="66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5">
      <c r="A678" s="66"/>
      <c r="B678" s="66"/>
      <c r="C678" s="66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5">
      <c r="A679" s="66"/>
      <c r="B679" s="66"/>
      <c r="C679" s="66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5">
      <c r="A680" s="66"/>
      <c r="B680" s="66"/>
      <c r="C680" s="66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5">
      <c r="A681" s="66"/>
      <c r="B681" s="66"/>
      <c r="C681" s="66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5">
      <c r="A682" s="66"/>
      <c r="B682" s="66"/>
      <c r="C682" s="66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5">
      <c r="A683" s="66"/>
      <c r="B683" s="66"/>
      <c r="C683" s="66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5">
      <c r="A684" s="66"/>
      <c r="B684" s="66"/>
      <c r="C684" s="66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5">
      <c r="A685" s="66"/>
      <c r="B685" s="66"/>
      <c r="C685" s="66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5">
      <c r="A686" s="66"/>
      <c r="B686" s="66"/>
      <c r="C686" s="66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5">
      <c r="A687" s="66"/>
      <c r="B687" s="66"/>
      <c r="C687" s="66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5">
      <c r="A688" s="66"/>
      <c r="B688" s="66"/>
      <c r="C688" s="66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5">
      <c r="A689" s="66"/>
      <c r="B689" s="66"/>
      <c r="C689" s="66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5">
      <c r="A690" s="66"/>
      <c r="B690" s="66"/>
      <c r="C690" s="66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5">
      <c r="A691" s="66"/>
      <c r="B691" s="66"/>
      <c r="C691" s="66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5">
      <c r="A692" s="66"/>
      <c r="B692" s="66"/>
      <c r="C692" s="66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5">
      <c r="A693" s="66"/>
      <c r="B693" s="66"/>
      <c r="C693" s="66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5">
      <c r="A694" s="66"/>
      <c r="B694" s="66"/>
      <c r="C694" s="66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5">
      <c r="A695" s="66"/>
      <c r="B695" s="66"/>
      <c r="C695" s="66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5">
      <c r="A696" s="66"/>
      <c r="B696" s="66"/>
      <c r="C696" s="66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5">
      <c r="A697" s="66"/>
      <c r="B697" s="66"/>
      <c r="C697" s="66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5">
      <c r="A698" s="66"/>
      <c r="B698" s="66"/>
      <c r="C698" s="66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5">
      <c r="A699" s="66"/>
      <c r="B699" s="66"/>
      <c r="C699" s="66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5">
      <c r="A700" s="66"/>
      <c r="B700" s="66"/>
      <c r="C700" s="66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5">
      <c r="A701" s="66"/>
      <c r="B701" s="66"/>
      <c r="C701" s="66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5">
      <c r="A702" s="66"/>
      <c r="B702" s="66"/>
      <c r="C702" s="66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5">
      <c r="A703" s="66"/>
      <c r="B703" s="66"/>
      <c r="C703" s="66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5">
      <c r="A704" s="66"/>
      <c r="B704" s="66"/>
      <c r="C704" s="66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5">
      <c r="A705" s="66"/>
      <c r="B705" s="66"/>
      <c r="C705" s="66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5">
      <c r="A706" s="66"/>
      <c r="B706" s="66"/>
      <c r="C706" s="66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5">
      <c r="A707" s="66"/>
      <c r="B707" s="66"/>
      <c r="C707" s="66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5">
      <c r="A708" s="66"/>
      <c r="B708" s="66"/>
      <c r="C708" s="66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5">
      <c r="A709" s="66"/>
      <c r="B709" s="66"/>
      <c r="C709" s="66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5">
      <c r="A710" s="66"/>
      <c r="B710" s="66"/>
      <c r="C710" s="66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5">
      <c r="A711" s="66"/>
      <c r="B711" s="66"/>
      <c r="C711" s="66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5">
      <c r="A712" s="66"/>
      <c r="B712" s="66"/>
      <c r="C712" s="66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5">
      <c r="A713" s="66"/>
      <c r="B713" s="66"/>
      <c r="C713" s="66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5">
      <c r="A714" s="66"/>
      <c r="B714" s="66"/>
      <c r="C714" s="66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5">
      <c r="A715" s="66"/>
      <c r="B715" s="66"/>
      <c r="C715" s="66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5">
      <c r="A716" s="66"/>
      <c r="B716" s="66"/>
      <c r="C716" s="66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5">
      <c r="A717" s="66"/>
      <c r="B717" s="66"/>
      <c r="C717" s="66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5">
      <c r="A718" s="66"/>
      <c r="B718" s="66"/>
      <c r="C718" s="66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5">
      <c r="A719" s="66"/>
      <c r="B719" s="66"/>
      <c r="C719" s="66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5">
      <c r="A720" s="66"/>
      <c r="B720" s="66"/>
      <c r="C720" s="66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5">
      <c r="A721" s="66"/>
      <c r="B721" s="66"/>
      <c r="C721" s="66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5">
      <c r="A722" s="66"/>
      <c r="B722" s="66"/>
      <c r="C722" s="66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5">
      <c r="A723" s="66"/>
      <c r="B723" s="66"/>
      <c r="C723" s="66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5">
      <c r="A724" s="66"/>
      <c r="B724" s="66"/>
      <c r="C724" s="66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5">
      <c r="A725" s="66"/>
      <c r="B725" s="66"/>
      <c r="C725" s="66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5">
      <c r="A726" s="66"/>
      <c r="B726" s="66"/>
      <c r="C726" s="66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5">
      <c r="A727" s="66"/>
      <c r="B727" s="66"/>
      <c r="C727" s="66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5">
      <c r="A728" s="66"/>
      <c r="B728" s="66"/>
      <c r="C728" s="66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5">
      <c r="A729" s="66"/>
      <c r="B729" s="66"/>
      <c r="C729" s="66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5">
      <c r="A730" s="66"/>
      <c r="B730" s="66"/>
      <c r="C730" s="66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5">
      <c r="A731" s="66"/>
      <c r="B731" s="66"/>
      <c r="C731" s="66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5">
      <c r="A732" s="66"/>
      <c r="B732" s="66"/>
      <c r="C732" s="66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5">
      <c r="A733" s="66"/>
      <c r="B733" s="66"/>
      <c r="C733" s="66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5">
      <c r="A734" s="66"/>
      <c r="B734" s="66"/>
      <c r="C734" s="66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5">
      <c r="A735" s="66"/>
      <c r="B735" s="66"/>
      <c r="C735" s="66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5">
      <c r="A736" s="66"/>
      <c r="B736" s="66"/>
      <c r="C736" s="66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5">
      <c r="A737" s="66"/>
      <c r="B737" s="66"/>
      <c r="C737" s="66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5">
      <c r="A738" s="66"/>
      <c r="B738" s="66"/>
      <c r="C738" s="66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5">
      <c r="A739" s="66"/>
      <c r="B739" s="66"/>
      <c r="C739" s="66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5">
      <c r="A740" s="66"/>
      <c r="B740" s="66"/>
      <c r="C740" s="66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5">
      <c r="A741" s="66"/>
      <c r="B741" s="66"/>
      <c r="C741" s="66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5">
      <c r="A742" s="66"/>
      <c r="B742" s="66"/>
      <c r="C742" s="66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5">
      <c r="A743" s="66"/>
      <c r="B743" s="66"/>
      <c r="C743" s="66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5">
      <c r="A744" s="66"/>
      <c r="B744" s="66"/>
      <c r="C744" s="66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5">
      <c r="A745" s="66"/>
      <c r="B745" s="66"/>
      <c r="C745" s="66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5">
      <c r="A746" s="66"/>
      <c r="B746" s="66"/>
      <c r="C746" s="66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5">
      <c r="A747" s="66"/>
      <c r="B747" s="66"/>
      <c r="C747" s="66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5">
      <c r="A748" s="66"/>
      <c r="B748" s="66"/>
      <c r="C748" s="66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5">
      <c r="A749" s="66"/>
      <c r="B749" s="66"/>
      <c r="C749" s="66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5">
      <c r="A750" s="66"/>
      <c r="B750" s="66"/>
      <c r="C750" s="66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5">
      <c r="A751" s="66"/>
      <c r="B751" s="66"/>
      <c r="C751" s="66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5">
      <c r="A752" s="66"/>
      <c r="B752" s="66"/>
      <c r="C752" s="66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5">
      <c r="A753" s="66"/>
      <c r="B753" s="66"/>
      <c r="C753" s="66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5">
      <c r="A754" s="66"/>
      <c r="B754" s="66"/>
      <c r="C754" s="66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5">
      <c r="A755" s="66"/>
      <c r="B755" s="66"/>
      <c r="C755" s="66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5">
      <c r="A756" s="66"/>
      <c r="B756" s="66"/>
      <c r="C756" s="66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5">
      <c r="A757" s="66"/>
      <c r="B757" s="66"/>
      <c r="C757" s="66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5">
      <c r="A758" s="66"/>
      <c r="B758" s="66"/>
      <c r="C758" s="66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5">
      <c r="A759" s="66"/>
      <c r="B759" s="66"/>
      <c r="C759" s="66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5">
      <c r="A760" s="66"/>
      <c r="B760" s="66"/>
      <c r="C760" s="66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5">
      <c r="A761" s="66"/>
      <c r="B761" s="66"/>
      <c r="C761" s="66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5">
      <c r="A762" s="66"/>
      <c r="B762" s="66"/>
      <c r="C762" s="66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5">
      <c r="A763" s="66"/>
      <c r="B763" s="66"/>
      <c r="C763" s="66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5">
      <c r="A764" s="66"/>
      <c r="B764" s="66"/>
      <c r="C764" s="66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5">
      <c r="A765" s="66"/>
      <c r="B765" s="66"/>
      <c r="C765" s="66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5">
      <c r="A766" s="66"/>
      <c r="B766" s="66"/>
      <c r="C766" s="66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5">
      <c r="A767" s="66"/>
      <c r="B767" s="66"/>
      <c r="C767" s="66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5">
      <c r="A768" s="66"/>
      <c r="B768" s="66"/>
      <c r="C768" s="66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5">
      <c r="A769" s="66"/>
      <c r="B769" s="66"/>
      <c r="C769" s="66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5">
      <c r="A770" s="66"/>
      <c r="B770" s="66"/>
      <c r="C770" s="66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5">
      <c r="A771" s="66"/>
      <c r="B771" s="66"/>
      <c r="C771" s="66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5">
      <c r="A772" s="66"/>
      <c r="B772" s="66"/>
      <c r="C772" s="66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5">
      <c r="A773" s="66"/>
      <c r="B773" s="66"/>
      <c r="C773" s="66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5">
      <c r="A774" s="66"/>
      <c r="B774" s="66"/>
      <c r="C774" s="66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5">
      <c r="A775" s="66"/>
      <c r="B775" s="66"/>
      <c r="C775" s="66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5">
      <c r="A776" s="66"/>
      <c r="B776" s="66"/>
      <c r="C776" s="66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5">
      <c r="A777" s="66"/>
      <c r="B777" s="66"/>
      <c r="C777" s="66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5">
      <c r="A778" s="66"/>
      <c r="B778" s="66"/>
      <c r="C778" s="66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5">
      <c r="A779" s="66"/>
      <c r="B779" s="66"/>
      <c r="C779" s="66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5">
      <c r="A780" s="66"/>
      <c r="B780" s="66"/>
      <c r="C780" s="66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5">
      <c r="A781" s="66"/>
      <c r="B781" s="66"/>
      <c r="C781" s="66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5">
      <c r="A782" s="66"/>
      <c r="B782" s="66"/>
      <c r="C782" s="66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5">
      <c r="A783" s="66"/>
      <c r="B783" s="66"/>
      <c r="C783" s="66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5">
      <c r="A784" s="66"/>
      <c r="B784" s="66"/>
      <c r="C784" s="66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5">
      <c r="A785" s="66"/>
      <c r="B785" s="66"/>
      <c r="C785" s="66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5">
      <c r="A786" s="66"/>
      <c r="B786" s="66"/>
      <c r="C786" s="66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5">
      <c r="A787" s="66"/>
      <c r="B787" s="66"/>
      <c r="C787" s="66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5">
      <c r="A788" s="66"/>
      <c r="B788" s="66"/>
      <c r="C788" s="66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5">
      <c r="A789" s="66"/>
      <c r="B789" s="66"/>
      <c r="C789" s="66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5">
      <c r="A790" s="66"/>
      <c r="B790" s="66"/>
      <c r="C790" s="66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5">
      <c r="A791" s="66"/>
      <c r="B791" s="66"/>
      <c r="C791" s="66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5">
      <c r="A792" s="66"/>
      <c r="B792" s="66"/>
      <c r="C792" s="66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5">
      <c r="A793" s="66"/>
      <c r="B793" s="66"/>
      <c r="C793" s="66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5">
      <c r="A794" s="66"/>
      <c r="B794" s="66"/>
      <c r="C794" s="66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5">
      <c r="A795" s="66"/>
      <c r="B795" s="66"/>
      <c r="C795" s="66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5">
      <c r="A796" s="66"/>
      <c r="B796" s="66"/>
      <c r="C796" s="66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5">
      <c r="A797" s="66"/>
      <c r="B797" s="66"/>
      <c r="C797" s="66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5">
      <c r="A798" s="66"/>
      <c r="B798" s="66"/>
      <c r="C798" s="66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5">
      <c r="A799" s="66"/>
      <c r="B799" s="66"/>
      <c r="C799" s="66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5">
      <c r="A800" s="66"/>
      <c r="B800" s="66"/>
      <c r="C800" s="66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5">
      <c r="A801" s="66"/>
      <c r="B801" s="66"/>
      <c r="C801" s="66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5">
      <c r="A802" s="66"/>
      <c r="B802" s="66"/>
      <c r="C802" s="66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5">
      <c r="A803" s="66"/>
      <c r="B803" s="66"/>
      <c r="C803" s="66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5">
      <c r="A804" s="66"/>
      <c r="B804" s="66"/>
      <c r="C804" s="66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5">
      <c r="A805" s="66"/>
      <c r="B805" s="66"/>
      <c r="C805" s="66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5">
      <c r="A806" s="66"/>
      <c r="B806" s="66"/>
      <c r="C806" s="66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5">
      <c r="A807" s="66"/>
      <c r="B807" s="66"/>
      <c r="C807" s="66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5">
      <c r="A808" s="66"/>
      <c r="B808" s="66"/>
      <c r="C808" s="66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5">
      <c r="A809" s="66"/>
      <c r="B809" s="66"/>
      <c r="C809" s="66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5">
      <c r="A810" s="66"/>
      <c r="B810" s="66"/>
      <c r="C810" s="66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5">
      <c r="A811" s="66"/>
      <c r="B811" s="66"/>
      <c r="C811" s="66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5">
      <c r="A812" s="66"/>
      <c r="B812" s="66"/>
      <c r="C812" s="66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5">
      <c r="A813" s="66"/>
      <c r="B813" s="66"/>
      <c r="C813" s="66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5">
      <c r="A814" s="66"/>
      <c r="B814" s="66"/>
      <c r="C814" s="66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5">
      <c r="A815" s="66"/>
      <c r="B815" s="66"/>
      <c r="C815" s="66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5">
      <c r="A816" s="66"/>
      <c r="B816" s="66"/>
      <c r="C816" s="66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5">
      <c r="A817" s="66"/>
      <c r="B817" s="66"/>
      <c r="C817" s="66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5">
      <c r="A818" s="66"/>
      <c r="B818" s="66"/>
      <c r="C818" s="66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5">
      <c r="A819" s="66"/>
      <c r="B819" s="66"/>
      <c r="C819" s="66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5">
      <c r="A820" s="66"/>
      <c r="B820" s="66"/>
      <c r="C820" s="66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5">
      <c r="A821" s="66"/>
      <c r="B821" s="66"/>
      <c r="C821" s="66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5">
      <c r="A822" s="66"/>
      <c r="B822" s="66"/>
      <c r="C822" s="66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5">
      <c r="A823" s="66"/>
      <c r="B823" s="66"/>
      <c r="C823" s="66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5">
      <c r="A824" s="66"/>
      <c r="B824" s="66"/>
      <c r="C824" s="66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5">
      <c r="A825" s="66"/>
      <c r="B825" s="66"/>
      <c r="C825" s="66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5">
      <c r="A826" s="66"/>
      <c r="B826" s="66"/>
      <c r="C826" s="66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5">
      <c r="A827" s="66"/>
      <c r="B827" s="66"/>
      <c r="C827" s="66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5">
      <c r="A828" s="66"/>
      <c r="B828" s="66"/>
      <c r="C828" s="66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5">
      <c r="A829" s="66"/>
      <c r="B829" s="66"/>
      <c r="C829" s="66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5">
      <c r="A830" s="66"/>
      <c r="B830" s="66"/>
      <c r="C830" s="66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5">
      <c r="A831" s="66"/>
      <c r="B831" s="66"/>
      <c r="C831" s="66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5">
      <c r="A832" s="66"/>
      <c r="B832" s="66"/>
      <c r="C832" s="66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5">
      <c r="A833" s="66"/>
      <c r="B833" s="66"/>
      <c r="C833" s="66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5">
      <c r="A834" s="66"/>
      <c r="B834" s="66"/>
      <c r="C834" s="66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5">
      <c r="A835" s="66"/>
      <c r="B835" s="66"/>
      <c r="C835" s="66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5">
      <c r="A836" s="66"/>
      <c r="B836" s="66"/>
      <c r="C836" s="66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5">
      <c r="A837" s="66"/>
      <c r="B837" s="66"/>
      <c r="C837" s="66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5">
      <c r="A838" s="66"/>
      <c r="B838" s="66"/>
      <c r="C838" s="66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5">
      <c r="A839" s="66"/>
      <c r="B839" s="66"/>
      <c r="C839" s="66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5">
      <c r="A840" s="66"/>
      <c r="B840" s="66"/>
      <c r="C840" s="66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5">
      <c r="A841" s="66"/>
      <c r="B841" s="66"/>
      <c r="C841" s="66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5">
      <c r="A842" s="66"/>
      <c r="B842" s="66"/>
      <c r="C842" s="66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5">
      <c r="A843" s="66"/>
      <c r="B843" s="66"/>
      <c r="C843" s="66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5">
      <c r="A844" s="66"/>
      <c r="B844" s="66"/>
      <c r="C844" s="66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5">
      <c r="A845" s="66"/>
      <c r="B845" s="66"/>
      <c r="C845" s="66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5">
      <c r="A846" s="66"/>
      <c r="B846" s="66"/>
      <c r="C846" s="66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5">
      <c r="A847" s="66"/>
      <c r="B847" s="66"/>
      <c r="C847" s="66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5">
      <c r="A848" s="66"/>
      <c r="B848" s="66"/>
      <c r="C848" s="66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5">
      <c r="A849" s="66"/>
      <c r="B849" s="66"/>
      <c r="C849" s="66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5">
      <c r="A850" s="66"/>
      <c r="B850" s="66"/>
      <c r="C850" s="66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5">
      <c r="A851" s="66"/>
      <c r="B851" s="66"/>
      <c r="C851" s="66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5">
      <c r="A852" s="66"/>
      <c r="B852" s="66"/>
      <c r="C852" s="66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5">
      <c r="A853" s="66"/>
      <c r="B853" s="66"/>
      <c r="C853" s="66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5">
      <c r="A854" s="66"/>
      <c r="B854" s="66"/>
      <c r="C854" s="66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5">
      <c r="A855" s="66"/>
      <c r="B855" s="66"/>
      <c r="C855" s="66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5">
      <c r="A856" s="66"/>
      <c r="B856" s="66"/>
      <c r="C856" s="66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5">
      <c r="A857" s="66"/>
      <c r="B857" s="66"/>
      <c r="C857" s="66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5">
      <c r="A858" s="66"/>
      <c r="B858" s="66"/>
      <c r="C858" s="66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5">
      <c r="A859" s="66"/>
      <c r="B859" s="66"/>
      <c r="C859" s="66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5">
      <c r="A860" s="66"/>
      <c r="B860" s="66"/>
      <c r="C860" s="66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5">
      <c r="A861" s="66"/>
      <c r="B861" s="66"/>
      <c r="C861" s="66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5">
      <c r="A862" s="66"/>
      <c r="B862" s="66"/>
      <c r="C862" s="66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5">
      <c r="A863" s="66"/>
      <c r="B863" s="66"/>
      <c r="C863" s="66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5">
      <c r="A864" s="66"/>
      <c r="B864" s="66"/>
      <c r="C864" s="66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5">
      <c r="A865" s="66"/>
      <c r="B865" s="66"/>
      <c r="C865" s="66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5">
      <c r="A866" s="66"/>
      <c r="B866" s="66"/>
      <c r="C866" s="66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5">
      <c r="A867" s="66"/>
      <c r="B867" s="66"/>
      <c r="C867" s="66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5">
      <c r="A868" s="66"/>
      <c r="B868" s="66"/>
      <c r="C868" s="66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5">
      <c r="A869" s="66"/>
      <c r="B869" s="66"/>
      <c r="C869" s="66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5">
      <c r="A870" s="66"/>
      <c r="B870" s="66"/>
      <c r="C870" s="66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5">
      <c r="A871" s="66"/>
      <c r="B871" s="66"/>
      <c r="C871" s="66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5">
      <c r="A872" s="66"/>
      <c r="B872" s="66"/>
      <c r="C872" s="66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5">
      <c r="A873" s="66"/>
      <c r="B873" s="66"/>
      <c r="C873" s="66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5">
      <c r="A874" s="66"/>
      <c r="B874" s="66"/>
      <c r="C874" s="66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5">
      <c r="A875" s="66"/>
      <c r="B875" s="66"/>
      <c r="C875" s="66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5">
      <c r="A876" s="66"/>
      <c r="B876" s="66"/>
      <c r="C876" s="66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5">
      <c r="A877" s="66"/>
      <c r="B877" s="66"/>
      <c r="C877" s="66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5">
      <c r="A878" s="66"/>
      <c r="B878" s="66"/>
      <c r="C878" s="66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5">
      <c r="A879" s="66"/>
      <c r="B879" s="66"/>
      <c r="C879" s="66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5">
      <c r="A880" s="66"/>
      <c r="B880" s="66"/>
      <c r="C880" s="66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5">
      <c r="A881" s="66"/>
      <c r="B881" s="66"/>
      <c r="C881" s="66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5">
      <c r="A882" s="66"/>
      <c r="B882" s="66"/>
      <c r="C882" s="66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5">
      <c r="A883" s="66"/>
      <c r="B883" s="66"/>
      <c r="C883" s="66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5">
      <c r="A884" s="66"/>
      <c r="B884" s="66"/>
      <c r="C884" s="66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5">
      <c r="A885" s="66"/>
      <c r="B885" s="66"/>
      <c r="C885" s="66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5">
      <c r="A886" s="66"/>
      <c r="B886" s="66"/>
      <c r="C886" s="66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5">
      <c r="A887" s="66"/>
      <c r="B887" s="66"/>
      <c r="C887" s="66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5">
      <c r="A888" s="66"/>
      <c r="B888" s="66"/>
      <c r="C888" s="66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5">
      <c r="A889" s="66"/>
      <c r="B889" s="66"/>
      <c r="C889" s="66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5">
      <c r="A890" s="66"/>
      <c r="B890" s="66"/>
      <c r="C890" s="66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5">
      <c r="A891" s="66"/>
      <c r="B891" s="66"/>
      <c r="C891" s="66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5">
      <c r="A892" s="66"/>
      <c r="B892" s="66"/>
      <c r="C892" s="66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5">
      <c r="A893" s="66"/>
      <c r="B893" s="66"/>
      <c r="C893" s="66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5">
      <c r="A894" s="66"/>
      <c r="B894" s="66"/>
      <c r="C894" s="66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5">
      <c r="A895" s="66"/>
      <c r="B895" s="66"/>
      <c r="C895" s="66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5">
      <c r="A896" s="66"/>
      <c r="B896" s="66"/>
      <c r="C896" s="66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5">
      <c r="A897" s="66"/>
      <c r="B897" s="66"/>
      <c r="C897" s="66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5">
      <c r="A898" s="66"/>
      <c r="B898" s="66"/>
      <c r="C898" s="66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5">
      <c r="A899" s="66"/>
      <c r="B899" s="66"/>
      <c r="C899" s="66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5">
      <c r="A900" s="66"/>
      <c r="B900" s="66"/>
      <c r="C900" s="66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5">
      <c r="A901" s="66"/>
      <c r="B901" s="66"/>
      <c r="C901" s="66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5">
      <c r="A902" s="66"/>
      <c r="B902" s="66"/>
      <c r="C902" s="66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5">
      <c r="A903" s="66"/>
      <c r="B903" s="66"/>
      <c r="C903" s="66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5">
      <c r="A904" s="66"/>
      <c r="B904" s="66"/>
      <c r="C904" s="66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5">
      <c r="A905" s="66"/>
      <c r="B905" s="66"/>
      <c r="C905" s="66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5">
      <c r="A906" s="66"/>
      <c r="B906" s="66"/>
      <c r="C906" s="66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5">
      <c r="A907" s="66"/>
      <c r="B907" s="66"/>
      <c r="C907" s="66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5">
      <c r="A908" s="66"/>
      <c r="B908" s="66"/>
      <c r="C908" s="66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5">
      <c r="A909" s="66"/>
      <c r="B909" s="66"/>
      <c r="C909" s="66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5">
      <c r="A910" s="66"/>
      <c r="B910" s="66"/>
      <c r="C910" s="66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5">
      <c r="A911" s="66"/>
      <c r="B911" s="66"/>
      <c r="C911" s="66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5">
      <c r="A912" s="66"/>
      <c r="B912" s="66"/>
      <c r="C912" s="66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5">
      <c r="A913" s="66"/>
      <c r="B913" s="66"/>
      <c r="C913" s="66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5">
      <c r="A914" s="66"/>
      <c r="B914" s="66"/>
      <c r="C914" s="66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5">
      <c r="A915" s="66"/>
      <c r="B915" s="66"/>
      <c r="C915" s="66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5">
      <c r="A916" s="66"/>
      <c r="B916" s="66"/>
      <c r="C916" s="66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5">
      <c r="A917" s="66"/>
      <c r="B917" s="66"/>
      <c r="C917" s="66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5">
      <c r="A918" s="66"/>
      <c r="B918" s="66"/>
      <c r="C918" s="66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5">
      <c r="A919" s="66"/>
      <c r="B919" s="66"/>
      <c r="C919" s="66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5">
      <c r="A920" s="66"/>
      <c r="B920" s="66"/>
      <c r="C920" s="66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5">
      <c r="A921" s="66"/>
      <c r="B921" s="66"/>
      <c r="C921" s="66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5">
      <c r="A922" s="66"/>
      <c r="B922" s="66"/>
      <c r="C922" s="66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5">
      <c r="A923" s="66"/>
      <c r="B923" s="66"/>
      <c r="C923" s="66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5">
      <c r="A924" s="66"/>
      <c r="B924" s="66"/>
      <c r="C924" s="66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5">
      <c r="A925" s="66"/>
      <c r="B925" s="66"/>
      <c r="C925" s="66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5">
      <c r="A926" s="66"/>
      <c r="B926" s="66"/>
      <c r="C926" s="66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5">
      <c r="A927" s="66"/>
      <c r="B927" s="66"/>
      <c r="C927" s="66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5">
      <c r="A928" s="66"/>
      <c r="B928" s="66"/>
      <c r="C928" s="66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5">
      <c r="A929" s="66"/>
      <c r="B929" s="66"/>
      <c r="C929" s="66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5">
      <c r="A930" s="66"/>
      <c r="B930" s="66"/>
      <c r="C930" s="66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5">
      <c r="A931" s="66"/>
      <c r="B931" s="66"/>
      <c r="C931" s="66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5">
      <c r="A932" s="66"/>
      <c r="B932" s="66"/>
      <c r="C932" s="66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5">
      <c r="A933" s="66"/>
      <c r="B933" s="66"/>
      <c r="C933" s="66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5">
      <c r="A934" s="66"/>
      <c r="B934" s="66"/>
      <c r="C934" s="66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5">
      <c r="A935" s="66"/>
      <c r="B935" s="66"/>
      <c r="C935" s="66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5">
      <c r="A936" s="66"/>
      <c r="B936" s="66"/>
      <c r="C936" s="66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5">
      <c r="A937" s="66"/>
      <c r="B937" s="66"/>
      <c r="C937" s="66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5">
      <c r="A938" s="66"/>
      <c r="B938" s="66"/>
      <c r="C938" s="66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5">
      <c r="A939" s="66"/>
      <c r="B939" s="66"/>
      <c r="C939" s="66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5">
      <c r="A940" s="66"/>
      <c r="B940" s="66"/>
      <c r="C940" s="66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5">
      <c r="A941" s="66"/>
      <c r="B941" s="66"/>
      <c r="C941" s="66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5">
      <c r="A942" s="66"/>
      <c r="B942" s="66"/>
      <c r="C942" s="66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5">
      <c r="A943" s="66"/>
      <c r="B943" s="66"/>
      <c r="C943" s="66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5">
      <c r="A944" s="66"/>
      <c r="B944" s="66"/>
      <c r="C944" s="66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5">
      <c r="A945" s="66"/>
      <c r="B945" s="66"/>
      <c r="C945" s="66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5">
      <c r="A946" s="66"/>
      <c r="B946" s="66"/>
      <c r="C946" s="66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5">
      <c r="A947" s="66"/>
      <c r="B947" s="66"/>
      <c r="C947" s="66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5">
      <c r="A948" s="66"/>
      <c r="B948" s="66"/>
      <c r="C948" s="66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5">
      <c r="A949" s="66"/>
      <c r="B949" s="66"/>
      <c r="C949" s="66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5">
      <c r="A950" s="66"/>
      <c r="B950" s="66"/>
      <c r="C950" s="66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5">
      <c r="A951" s="66"/>
      <c r="B951" s="66"/>
      <c r="C951" s="66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5">
      <c r="A952" s="66"/>
      <c r="B952" s="66"/>
      <c r="C952" s="66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5">
      <c r="A953" s="66"/>
      <c r="B953" s="66"/>
      <c r="C953" s="66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5">
      <c r="A954" s="66"/>
      <c r="B954" s="66"/>
      <c r="C954" s="66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5">
      <c r="A955" s="66"/>
      <c r="B955" s="66"/>
      <c r="C955" s="66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5">
      <c r="A956" s="66"/>
      <c r="B956" s="66"/>
      <c r="C956" s="66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5">
      <c r="A957" s="66"/>
      <c r="B957" s="66"/>
      <c r="C957" s="66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5">
      <c r="A958" s="66"/>
      <c r="B958" s="66"/>
      <c r="C958" s="66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5">
      <c r="A959" s="66"/>
      <c r="B959" s="66"/>
      <c r="C959" s="66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5">
      <c r="A960" s="66"/>
      <c r="B960" s="66"/>
      <c r="C960" s="66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5">
      <c r="A961" s="66"/>
      <c r="B961" s="66"/>
      <c r="C961" s="66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5">
      <c r="A962" s="66"/>
      <c r="B962" s="66"/>
      <c r="C962" s="66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5">
      <c r="A963" s="66"/>
      <c r="B963" s="66"/>
      <c r="C963" s="66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5">
      <c r="A964" s="66"/>
      <c r="B964" s="66"/>
      <c r="C964" s="66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5">
      <c r="A965" s="66"/>
      <c r="B965" s="66"/>
      <c r="C965" s="66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5">
      <c r="A966" s="66"/>
      <c r="B966" s="66"/>
      <c r="C966" s="66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5">
      <c r="A967" s="66"/>
      <c r="B967" s="66"/>
      <c r="C967" s="66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5">
      <c r="A968" s="66"/>
      <c r="B968" s="66"/>
      <c r="C968" s="66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5">
      <c r="A969" s="66"/>
      <c r="B969" s="66"/>
      <c r="C969" s="66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5">
      <c r="A970" s="66"/>
      <c r="B970" s="66"/>
      <c r="C970" s="66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5">
      <c r="A971" s="66"/>
      <c r="B971" s="66"/>
      <c r="C971" s="66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5">
      <c r="A972" s="66"/>
      <c r="B972" s="66"/>
      <c r="C972" s="66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5">
      <c r="A973" s="66"/>
      <c r="B973" s="66"/>
      <c r="C973" s="66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5">
      <c r="A974" s="66"/>
      <c r="B974" s="66"/>
      <c r="C974" s="66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5">
      <c r="A975" s="66"/>
      <c r="B975" s="66"/>
      <c r="C975" s="66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5">
      <c r="A976" s="66"/>
      <c r="B976" s="66"/>
      <c r="C976" s="66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5">
      <c r="A977" s="66"/>
      <c r="B977" s="66"/>
      <c r="C977" s="66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5">
      <c r="A978" s="66"/>
      <c r="B978" s="66"/>
      <c r="C978" s="66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5">
      <c r="A979" s="66"/>
      <c r="B979" s="66"/>
      <c r="C979" s="66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5">
      <c r="A980" s="66"/>
      <c r="B980" s="66"/>
      <c r="C980" s="66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5">
      <c r="A981" s="66"/>
      <c r="B981" s="66"/>
      <c r="C981" s="66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5">
      <c r="A982" s="66"/>
      <c r="B982" s="66"/>
      <c r="C982" s="66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5">
      <c r="A983" s="66"/>
      <c r="B983" s="66"/>
      <c r="C983" s="66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5">
      <c r="A984" s="66"/>
      <c r="B984" s="66"/>
      <c r="C984" s="66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5">
      <c r="A985" s="66"/>
      <c r="B985" s="66"/>
      <c r="C985" s="66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5">
      <c r="A986" s="66"/>
      <c r="B986" s="66"/>
      <c r="C986" s="66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5">
      <c r="A987" s="66"/>
      <c r="B987" s="66"/>
      <c r="C987" s="66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5">
      <c r="A988" s="66"/>
      <c r="B988" s="66"/>
      <c r="C988" s="66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5">
      <c r="A989" s="66"/>
      <c r="B989" s="66"/>
      <c r="C989" s="66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5">
      <c r="A990" s="66"/>
      <c r="B990" s="66"/>
      <c r="C990" s="66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5">
      <c r="A991" s="66"/>
      <c r="B991" s="66"/>
      <c r="C991" s="66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5">
      <c r="A992" s="66"/>
      <c r="B992" s="66"/>
      <c r="C992" s="66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5">
      <c r="A993" s="66"/>
      <c r="B993" s="66"/>
      <c r="C993" s="66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5">
      <c r="A994" s="66"/>
      <c r="B994" s="66"/>
      <c r="C994" s="66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5">
      <c r="A995" s="66"/>
      <c r="B995" s="66"/>
      <c r="C995" s="66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5">
      <c r="A996" s="66"/>
      <c r="B996" s="66"/>
      <c r="C996" s="66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5">
      <c r="A997" s="66"/>
      <c r="B997" s="66"/>
      <c r="C997" s="66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5">
      <c r="A998" s="66"/>
      <c r="B998" s="66"/>
      <c r="C998" s="66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5">
      <c r="A999" s="66"/>
      <c r="B999" s="66"/>
      <c r="C999" s="66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5">
      <c r="A1000" s="66"/>
      <c r="B1000" s="66"/>
      <c r="C1000" s="66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5">
      <c r="A1001" s="66"/>
      <c r="B1001" s="66"/>
      <c r="C1001" s="66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5">
      <c r="A1002" s="66"/>
      <c r="B1002" s="66"/>
      <c r="C1002" s="66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5">
      <c r="A1003" s="66"/>
      <c r="B1003" s="66"/>
      <c r="C1003" s="66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5">
      <c r="A1004" s="66"/>
      <c r="B1004" s="66"/>
      <c r="C1004" s="66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5">
      <c r="A1005" s="66"/>
      <c r="B1005" s="66"/>
      <c r="C1005" s="66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5">
      <c r="A1006" s="66"/>
      <c r="B1006" s="66"/>
      <c r="C1006" s="66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5">
      <c r="A1007" s="66"/>
      <c r="B1007" s="66"/>
      <c r="C1007" s="66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5">
      <c r="A1008" s="66"/>
      <c r="B1008" s="66"/>
      <c r="C1008" s="66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5">
      <c r="A1009" s="66"/>
      <c r="B1009" s="66"/>
      <c r="C1009" s="66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5">
      <c r="A1010" s="66"/>
      <c r="B1010" s="66"/>
      <c r="C1010" s="66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5">
      <c r="A1011" s="66"/>
      <c r="B1011" s="66"/>
      <c r="C1011" s="66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5">
      <c r="A1012" s="66"/>
      <c r="B1012" s="66"/>
      <c r="C1012" s="66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5">
      <c r="A1013" s="66"/>
      <c r="B1013" s="66"/>
      <c r="C1013" s="66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5">
      <c r="A1014" s="66"/>
      <c r="B1014" s="66"/>
      <c r="C1014" s="66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5">
      <c r="A1015" s="66"/>
      <c r="B1015" s="66"/>
      <c r="C1015" s="66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5">
      <c r="A1016" s="66"/>
      <c r="B1016" s="66"/>
      <c r="C1016" s="66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5">
      <c r="A1017" s="66"/>
      <c r="B1017" s="66"/>
      <c r="C1017" s="66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5">
      <c r="A1018" s="66"/>
      <c r="B1018" s="66"/>
      <c r="C1018" s="66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5">
      <c r="A1019" s="66"/>
      <c r="B1019" s="66"/>
      <c r="C1019" s="66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5">
      <c r="A1020" s="66"/>
      <c r="B1020" s="66"/>
      <c r="C1020" s="66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5">
      <c r="A1021" s="66"/>
      <c r="B1021" s="66"/>
      <c r="C1021" s="66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5">
      <c r="A1022" s="66"/>
      <c r="B1022" s="66"/>
      <c r="C1022" s="66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5">
      <c r="A1023" s="66"/>
      <c r="B1023" s="66"/>
      <c r="C1023" s="66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5">
      <c r="A1024" s="66"/>
      <c r="B1024" s="66"/>
      <c r="C1024" s="66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5">
      <c r="A1025" s="66"/>
      <c r="B1025" s="66"/>
      <c r="C1025" s="66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5">
      <c r="A1026" s="66"/>
      <c r="B1026" s="66"/>
      <c r="C1026" s="66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5">
      <c r="A1027" s="66"/>
      <c r="B1027" s="66"/>
      <c r="C1027" s="66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5">
      <c r="A1028" s="66"/>
      <c r="B1028" s="66"/>
      <c r="C1028" s="66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5">
      <c r="A1029" s="66"/>
      <c r="B1029" s="66"/>
      <c r="C1029" s="66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5">
      <c r="A1030" s="66"/>
      <c r="B1030" s="66"/>
      <c r="C1030" s="66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5">
      <c r="A1031" s="66"/>
      <c r="B1031" s="66"/>
      <c r="C1031" s="66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5">
      <c r="A1032" s="66"/>
      <c r="B1032" s="66"/>
      <c r="C1032" s="66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5">
      <c r="A1033" s="66"/>
      <c r="B1033" s="66"/>
      <c r="C1033" s="66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5">
      <c r="A1034" s="66"/>
      <c r="B1034" s="66"/>
      <c r="C1034" s="66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5">
      <c r="A1035" s="66"/>
      <c r="B1035" s="66"/>
      <c r="C1035" s="66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5">
      <c r="A1036" s="66"/>
      <c r="B1036" s="66"/>
      <c r="C1036" s="66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5">
      <c r="A1037" s="66"/>
      <c r="B1037" s="66"/>
      <c r="C1037" s="66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5">
      <c r="A1038" s="66"/>
      <c r="B1038" s="66"/>
      <c r="C1038" s="66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5">
      <c r="A1039" s="66"/>
      <c r="B1039" s="66"/>
      <c r="C1039" s="66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5">
      <c r="A1040" s="66"/>
      <c r="B1040" s="66"/>
      <c r="C1040" s="66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5">
      <c r="A1041" s="66"/>
      <c r="B1041" s="66"/>
      <c r="C1041" s="66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5">
      <c r="A1042" s="66"/>
      <c r="B1042" s="66"/>
      <c r="C1042" s="66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5">
      <c r="A1043" s="66"/>
      <c r="B1043" s="66"/>
      <c r="C1043" s="66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5">
      <c r="A1044" s="66"/>
      <c r="B1044" s="66"/>
      <c r="C1044" s="66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5">
      <c r="A1045" s="66"/>
      <c r="B1045" s="66"/>
      <c r="C1045" s="66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5">
      <c r="A1046" s="66"/>
      <c r="B1046" s="66"/>
      <c r="C1046" s="66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5">
      <c r="A1047" s="66"/>
      <c r="B1047" s="66"/>
      <c r="C1047" s="66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5">
      <c r="A1048" s="66"/>
      <c r="B1048" s="66"/>
      <c r="C1048" s="66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5">
      <c r="A1049" s="66"/>
      <c r="B1049" s="66"/>
      <c r="C1049" s="66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5">
      <c r="A1050" s="66"/>
      <c r="B1050" s="66"/>
      <c r="C1050" s="66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5">
      <c r="A1051" s="66"/>
      <c r="B1051" s="66"/>
      <c r="C1051" s="66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5">
      <c r="A1052" s="66"/>
      <c r="B1052" s="66"/>
      <c r="C1052" s="66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5">
      <c r="A1053" s="66"/>
      <c r="B1053" s="66"/>
      <c r="C1053" s="66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5">
      <c r="A1054" s="66"/>
      <c r="B1054" s="66"/>
      <c r="C1054" s="66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5">
      <c r="A1055" s="66"/>
      <c r="B1055" s="66"/>
      <c r="C1055" s="66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5">
      <c r="A1056" s="66"/>
      <c r="B1056" s="66"/>
      <c r="C1056" s="66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5">
      <c r="A1057" s="66"/>
      <c r="B1057" s="66"/>
      <c r="C1057" s="66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5">
      <c r="A1058" s="66"/>
      <c r="B1058" s="66"/>
      <c r="C1058" s="66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5">
      <c r="A1059" s="66"/>
      <c r="B1059" s="66"/>
      <c r="C1059" s="66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5">
      <c r="A1060" s="66"/>
      <c r="B1060" s="66"/>
      <c r="C1060" s="66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5">
      <c r="A1061" s="66"/>
      <c r="B1061" s="66"/>
      <c r="C1061" s="66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5">
      <c r="A1062" s="66"/>
      <c r="B1062" s="66"/>
      <c r="C1062" s="66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5">
      <c r="A1063" s="66"/>
      <c r="B1063" s="66"/>
      <c r="C1063" s="66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5">
      <c r="A1064" s="66"/>
      <c r="B1064" s="66"/>
      <c r="C1064" s="66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5">
      <c r="A1065" s="66"/>
      <c r="B1065" s="66"/>
      <c r="C1065" s="66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5">
      <c r="A1066" s="66"/>
      <c r="B1066" s="66"/>
      <c r="C1066" s="66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5">
      <c r="A1067" s="66"/>
      <c r="B1067" s="66"/>
      <c r="C1067" s="66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5">
      <c r="A1068" s="66"/>
      <c r="B1068" s="66"/>
      <c r="C1068" s="66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5">
      <c r="A1069" s="66"/>
      <c r="B1069" s="66"/>
      <c r="C1069" s="66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5">
      <c r="A1070" s="66"/>
      <c r="B1070" s="66"/>
      <c r="C1070" s="66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5">
      <c r="A1071" s="66"/>
      <c r="B1071" s="66"/>
      <c r="C1071" s="66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5">
      <c r="A1072" s="66"/>
      <c r="B1072" s="66"/>
      <c r="C1072" s="66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5">
      <c r="A1073" s="66"/>
      <c r="B1073" s="66"/>
      <c r="C1073" s="66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5">
      <c r="A1074" s="66"/>
      <c r="B1074" s="66"/>
      <c r="C1074" s="66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5">
      <c r="A1075" s="66"/>
      <c r="B1075" s="66"/>
      <c r="C1075" s="66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5">
      <c r="A1076" s="66"/>
      <c r="B1076" s="66"/>
      <c r="C1076" s="66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5">
      <c r="A1077" s="66"/>
      <c r="B1077" s="66"/>
      <c r="C1077" s="66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5">
      <c r="A1078" s="66"/>
      <c r="B1078" s="66"/>
      <c r="C1078" s="66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5">
      <c r="A1079" s="66"/>
      <c r="B1079" s="66"/>
      <c r="C1079" s="66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5">
      <c r="A1080" s="66"/>
      <c r="B1080" s="66"/>
      <c r="C1080" s="66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5">
      <c r="A1081" s="66"/>
      <c r="B1081" s="66"/>
      <c r="C1081" s="66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5">
      <c r="A1082" s="66"/>
      <c r="B1082" s="66"/>
      <c r="C1082" s="66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5">
      <c r="A1083" s="66"/>
      <c r="B1083" s="66"/>
      <c r="C1083" s="66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5">
      <c r="A1084" s="66"/>
      <c r="B1084" s="66"/>
      <c r="C1084" s="66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5">
      <c r="A1085" s="66"/>
      <c r="B1085" s="66"/>
      <c r="C1085" s="66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5">
      <c r="A1086" s="66"/>
      <c r="B1086" s="66"/>
      <c r="C1086" s="66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5">
      <c r="A1087" s="66"/>
      <c r="B1087" s="66"/>
      <c r="C1087" s="66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5">
      <c r="A1088" s="66"/>
      <c r="B1088" s="66"/>
      <c r="C1088" s="66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5">
      <c r="A1089" s="66"/>
      <c r="B1089" s="66"/>
      <c r="C1089" s="66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5">
      <c r="A1090" s="66"/>
      <c r="B1090" s="66"/>
      <c r="C1090" s="66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5">
      <c r="A1091" s="66"/>
      <c r="B1091" s="66"/>
      <c r="C1091" s="66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5">
      <c r="A1092" s="66"/>
      <c r="B1092" s="66"/>
      <c r="C1092" s="66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5">
      <c r="A1093" s="66"/>
      <c r="B1093" s="66"/>
      <c r="C1093" s="66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5">
      <c r="A1094" s="66"/>
      <c r="B1094" s="66"/>
      <c r="C1094" s="66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5">
      <c r="A1095" s="66"/>
      <c r="B1095" s="66"/>
      <c r="C1095" s="66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5">
      <c r="A1096" s="66"/>
      <c r="B1096" s="66"/>
      <c r="C1096" s="66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5">
      <c r="A1097" s="66"/>
      <c r="B1097" s="66"/>
      <c r="C1097" s="66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5">
      <c r="A1098" s="66"/>
      <c r="B1098" s="66"/>
      <c r="C1098" s="66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5">
      <c r="A1099" s="66"/>
      <c r="B1099" s="66"/>
      <c r="C1099" s="66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5">
      <c r="A1100" s="66"/>
      <c r="B1100" s="66"/>
      <c r="C1100" s="66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5">
      <c r="A1101" s="66"/>
      <c r="B1101" s="66"/>
      <c r="C1101" s="66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5">
      <c r="A1102" s="66"/>
      <c r="B1102" s="66"/>
      <c r="C1102" s="66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5">
      <c r="A1103" s="66"/>
      <c r="B1103" s="66"/>
      <c r="C1103" s="66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5">
      <c r="A1104" s="66"/>
      <c r="B1104" s="66"/>
      <c r="C1104" s="66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5">
      <c r="A1105" s="66"/>
      <c r="B1105" s="66"/>
      <c r="C1105" s="66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5">
      <c r="A1106" s="66"/>
      <c r="B1106" s="66"/>
      <c r="C1106" s="66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5">
      <c r="A1107" s="66"/>
      <c r="B1107" s="66"/>
      <c r="C1107" s="66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5">
      <c r="A1108" s="66"/>
      <c r="B1108" s="66"/>
      <c r="C1108" s="66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5">
      <c r="A1109" s="66"/>
      <c r="B1109" s="66"/>
      <c r="C1109" s="66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5">
      <c r="A1110" s="66"/>
      <c r="B1110" s="66"/>
      <c r="C1110" s="66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5">
      <c r="A1111" s="66"/>
      <c r="B1111" s="66"/>
      <c r="C1111" s="66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5">
      <c r="A1112" s="66"/>
      <c r="B1112" s="66"/>
      <c r="C1112" s="66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5">
      <c r="A1113" s="66"/>
      <c r="B1113" s="66"/>
      <c r="C1113" s="66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5">
      <c r="A1114" s="66"/>
      <c r="B1114" s="66"/>
      <c r="C1114" s="66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5">
      <c r="A1115" s="66"/>
      <c r="B1115" s="66"/>
      <c r="C1115" s="66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5">
      <c r="A1116" s="66"/>
      <c r="B1116" s="66"/>
      <c r="C1116" s="66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5">
      <c r="A1117" s="66"/>
      <c r="B1117" s="66"/>
      <c r="C1117" s="66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5">
      <c r="A1118" s="66"/>
      <c r="B1118" s="66"/>
      <c r="C1118" s="66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5">
      <c r="A1119" s="66"/>
      <c r="B1119" s="66"/>
      <c r="C1119" s="66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5">
      <c r="A1120" s="66"/>
      <c r="B1120" s="66"/>
      <c r="C1120" s="66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5">
      <c r="A1121" s="66"/>
      <c r="B1121" s="66"/>
      <c r="C1121" s="66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5">
      <c r="A1122" s="66"/>
      <c r="B1122" s="66"/>
      <c r="C1122" s="66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5">
      <c r="A1123" s="66"/>
      <c r="B1123" s="66"/>
      <c r="C1123" s="66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5">
      <c r="A1124" s="66"/>
      <c r="B1124" s="66"/>
      <c r="C1124" s="66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5">
      <c r="A1125" s="66"/>
      <c r="B1125" s="66"/>
      <c r="C1125" s="66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5">
      <c r="A1126" s="66"/>
      <c r="B1126" s="66"/>
      <c r="C1126" s="66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5">
      <c r="A1127" s="66"/>
      <c r="B1127" s="66"/>
      <c r="C1127" s="66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5">
      <c r="A1128" s="66"/>
      <c r="B1128" s="66"/>
      <c r="C1128" s="66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5">
      <c r="A1129" s="66"/>
      <c r="B1129" s="66"/>
      <c r="C1129" s="66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5">
      <c r="A1130" s="66"/>
      <c r="B1130" s="66"/>
      <c r="C1130" s="66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5">
      <c r="A1131" s="66"/>
      <c r="B1131" s="66"/>
      <c r="C1131" s="66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5">
      <c r="A1132" s="66"/>
      <c r="B1132" s="66"/>
      <c r="C1132" s="66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5">
      <c r="A1133" s="66"/>
      <c r="B1133" s="66"/>
      <c r="C1133" s="66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5">
      <c r="A1134" s="66"/>
      <c r="B1134" s="66"/>
      <c r="C1134" s="66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5">
      <c r="A1135" s="66"/>
      <c r="B1135" s="66"/>
      <c r="C1135" s="66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5">
      <c r="A1136" s="66"/>
      <c r="B1136" s="66"/>
      <c r="C1136" s="66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5">
      <c r="A1137" s="66"/>
      <c r="B1137" s="66"/>
      <c r="C1137" s="66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5">
      <c r="A1138" s="66"/>
      <c r="B1138" s="66"/>
      <c r="C1138" s="66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5">
      <c r="A1139" s="66"/>
      <c r="B1139" s="66"/>
      <c r="C1139" s="66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5">
      <c r="A1140" s="66"/>
      <c r="B1140" s="66"/>
      <c r="C1140" s="66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5">
      <c r="A1141" s="66"/>
      <c r="B1141" s="66"/>
      <c r="C1141" s="66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5">
      <c r="A1142" s="66"/>
      <c r="B1142" s="66"/>
      <c r="C1142" s="66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5">
      <c r="A1143" s="66"/>
      <c r="B1143" s="66"/>
      <c r="C1143" s="66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5">
      <c r="A1144" s="66"/>
      <c r="B1144" s="66"/>
      <c r="C1144" s="66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5">
      <c r="A1145" s="66"/>
      <c r="B1145" s="66"/>
      <c r="C1145" s="66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5">
      <c r="A1146" s="66"/>
      <c r="B1146" s="66"/>
      <c r="C1146" s="66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5">
      <c r="A1147" s="66"/>
      <c r="B1147" s="66"/>
      <c r="C1147" s="66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5">
      <c r="A1148" s="66"/>
      <c r="B1148" s="66"/>
      <c r="C1148" s="66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5">
      <c r="A1149" s="66"/>
      <c r="B1149" s="66"/>
      <c r="C1149" s="66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5">
      <c r="A1150" s="66"/>
      <c r="B1150" s="66"/>
      <c r="C1150" s="66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5">
      <c r="A1151" s="66"/>
      <c r="B1151" s="66"/>
      <c r="C1151" s="66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5">
      <c r="A1152" s="66"/>
      <c r="B1152" s="66"/>
      <c r="C1152" s="66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5">
      <c r="A1153" s="66"/>
      <c r="B1153" s="66"/>
      <c r="C1153" s="66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5">
      <c r="A1154" s="66"/>
      <c r="B1154" s="66"/>
      <c r="C1154" s="66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5">
      <c r="A1155" s="66"/>
      <c r="B1155" s="66"/>
      <c r="C1155" s="66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5">
      <c r="A1156" s="66"/>
      <c r="B1156" s="66"/>
      <c r="C1156" s="66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5">
      <c r="A1157" s="66"/>
      <c r="B1157" s="66"/>
      <c r="C1157" s="66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5">
      <c r="A1158" s="66"/>
      <c r="B1158" s="66"/>
      <c r="C1158" s="66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5">
      <c r="A1159" s="66"/>
      <c r="B1159" s="66"/>
      <c r="C1159" s="66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5">
      <c r="A1160" s="66"/>
      <c r="B1160" s="66"/>
      <c r="C1160" s="66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5">
      <c r="A1161" s="66"/>
      <c r="B1161" s="66"/>
      <c r="C1161" s="66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5">
      <c r="A1162" s="66"/>
      <c r="B1162" s="66"/>
      <c r="C1162" s="66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5">
      <c r="A1163" s="66"/>
      <c r="B1163" s="66"/>
      <c r="C1163" s="66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5">
      <c r="A1164" s="66"/>
      <c r="B1164" s="66"/>
      <c r="C1164" s="66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5">
      <c r="A1165" s="66"/>
      <c r="B1165" s="66"/>
      <c r="C1165" s="66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5">
      <c r="A1166" s="66"/>
      <c r="B1166" s="66"/>
      <c r="C1166" s="66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5">
      <c r="A1167" s="66"/>
      <c r="B1167" s="66"/>
      <c r="C1167" s="66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5">
      <c r="A1168" s="66"/>
      <c r="B1168" s="66"/>
      <c r="C1168" s="66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5">
      <c r="A1169" s="66"/>
      <c r="B1169" s="66"/>
      <c r="C1169" s="66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5">
      <c r="A1170" s="66"/>
      <c r="B1170" s="66"/>
      <c r="C1170" s="66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5">
      <c r="A1171" s="66"/>
      <c r="B1171" s="66"/>
      <c r="C1171" s="66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5">
      <c r="A1172" s="66"/>
      <c r="B1172" s="66"/>
      <c r="C1172" s="66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5">
      <c r="A1173" s="66"/>
      <c r="B1173" s="66"/>
      <c r="C1173" s="66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5">
      <c r="A1174" s="66"/>
      <c r="B1174" s="66"/>
      <c r="C1174" s="66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5">
      <c r="A1175" s="66"/>
      <c r="B1175" s="66"/>
      <c r="C1175" s="66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5">
      <c r="A1176" s="66"/>
      <c r="B1176" s="66"/>
      <c r="C1176" s="66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5">
      <c r="A1177" s="66"/>
      <c r="B1177" s="66"/>
      <c r="C1177" s="66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5">
      <c r="A1178" s="66"/>
      <c r="B1178" s="66"/>
      <c r="C1178" s="66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5">
      <c r="A1179" s="66"/>
      <c r="B1179" s="66"/>
      <c r="C1179" s="66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5">
      <c r="A1180" s="66"/>
      <c r="B1180" s="66"/>
      <c r="C1180" s="66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5">
      <c r="A1181" s="66"/>
      <c r="B1181" s="66"/>
      <c r="C1181" s="66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5">
      <c r="A1182" s="66"/>
      <c r="B1182" s="66"/>
      <c r="C1182" s="66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5">
      <c r="A1183" s="66"/>
      <c r="B1183" s="66"/>
      <c r="C1183" s="66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5">
      <c r="A1184" s="66"/>
      <c r="B1184" s="66"/>
      <c r="C1184" s="66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5">
      <c r="A1185" s="66"/>
      <c r="B1185" s="66"/>
      <c r="C1185" s="66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5">
      <c r="A1186" s="66"/>
      <c r="B1186" s="66"/>
      <c r="C1186" s="66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5">
      <c r="A1187" s="66"/>
      <c r="B1187" s="66"/>
      <c r="C1187" s="66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5">
      <c r="A1188" s="66"/>
      <c r="B1188" s="66"/>
      <c r="C1188" s="66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5">
      <c r="A1189" s="66"/>
      <c r="B1189" s="66"/>
      <c r="C1189" s="66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5">
      <c r="A1190" s="66"/>
      <c r="B1190" s="66"/>
      <c r="C1190" s="66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5">
      <c r="A1191" s="66"/>
      <c r="B1191" s="66"/>
      <c r="C1191" s="66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5">
      <c r="A1192" s="66"/>
      <c r="B1192" s="66"/>
      <c r="C1192" s="66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5">
      <c r="A1193" s="66"/>
      <c r="B1193" s="66"/>
      <c r="C1193" s="66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5">
      <c r="A1194" s="66"/>
      <c r="B1194" s="66"/>
      <c r="C1194" s="66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5">
      <c r="A1195" s="66"/>
      <c r="B1195" s="66"/>
      <c r="C1195" s="66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5">
      <c r="A1196" s="66"/>
      <c r="B1196" s="66"/>
      <c r="C1196" s="66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5">
      <c r="A1197" s="66"/>
      <c r="B1197" s="66"/>
      <c r="C1197" s="66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5">
      <c r="A1198" s="66"/>
      <c r="B1198" s="66"/>
      <c r="C1198" s="66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5">
      <c r="A1199" s="66"/>
      <c r="B1199" s="66"/>
      <c r="C1199" s="66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5">
      <c r="A1200" s="66"/>
      <c r="B1200" s="66"/>
      <c r="C1200" s="66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5">
      <c r="A1201" s="66"/>
      <c r="B1201" s="66"/>
      <c r="C1201" s="66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5">
      <c r="A1202" s="66"/>
      <c r="B1202" s="66"/>
      <c r="C1202" s="66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5">
      <c r="A1203" s="66"/>
      <c r="B1203" s="66"/>
      <c r="C1203" s="66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5">
      <c r="A1204" s="66"/>
      <c r="B1204" s="66"/>
      <c r="C1204" s="66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5">
      <c r="A1205" s="66"/>
      <c r="B1205" s="66"/>
      <c r="C1205" s="66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5">
      <c r="A1206" s="66"/>
      <c r="B1206" s="66"/>
      <c r="C1206" s="66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5">
      <c r="A1207" s="66"/>
      <c r="B1207" s="66"/>
      <c r="C1207" s="66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5">
      <c r="A1208" s="66"/>
      <c r="B1208" s="66"/>
      <c r="C1208" s="66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5">
      <c r="A1209" s="66"/>
      <c r="B1209" s="66"/>
      <c r="C1209" s="66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5">
      <c r="A1210" s="66"/>
      <c r="B1210" s="66"/>
      <c r="C1210" s="66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5">
      <c r="A1211" s="66"/>
      <c r="B1211" s="66"/>
      <c r="C1211" s="66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5">
      <c r="A1212" s="66"/>
      <c r="B1212" s="66"/>
      <c r="C1212" s="66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5">
      <c r="A1213" s="66"/>
      <c r="B1213" s="66"/>
      <c r="C1213" s="66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5">
      <c r="A1214" s="66"/>
      <c r="B1214" s="66"/>
      <c r="C1214" s="66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5">
      <c r="A1215" s="66"/>
      <c r="B1215" s="66"/>
      <c r="C1215" s="66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5">
      <c r="A1216" s="66"/>
      <c r="B1216" s="66"/>
      <c r="C1216" s="66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5">
      <c r="A1217" s="66"/>
      <c r="B1217" s="66"/>
      <c r="C1217" s="66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5">
      <c r="A1218" s="66"/>
      <c r="B1218" s="66"/>
      <c r="C1218" s="66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5">
      <c r="A1219" s="66"/>
      <c r="B1219" s="66"/>
      <c r="C1219" s="66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5">
      <c r="A1220" s="66"/>
      <c r="B1220" s="66"/>
      <c r="C1220" s="66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5">
      <c r="A1221" s="66"/>
      <c r="B1221" s="66"/>
      <c r="C1221" s="66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5">
      <c r="A1222" s="66"/>
      <c r="B1222" s="66"/>
      <c r="C1222" s="66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5">
      <c r="A1223" s="66"/>
      <c r="B1223" s="66"/>
      <c r="C1223" s="66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5">
      <c r="A1224" s="66"/>
      <c r="B1224" s="66"/>
      <c r="C1224" s="66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5">
      <c r="A1225" s="66"/>
      <c r="B1225" s="66"/>
      <c r="C1225" s="66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5">
      <c r="A1226" s="66"/>
      <c r="B1226" s="66"/>
      <c r="C1226" s="66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5">
      <c r="A1227" s="66"/>
      <c r="B1227" s="66"/>
      <c r="C1227" s="66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5">
      <c r="A1228" s="66"/>
      <c r="B1228" s="66"/>
      <c r="C1228" s="66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5">
      <c r="A1229" s="66"/>
      <c r="B1229" s="66"/>
      <c r="C1229" s="66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5">
      <c r="A1230" s="66"/>
      <c r="B1230" s="66"/>
      <c r="C1230" s="66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5">
      <c r="A1231" s="66"/>
      <c r="B1231" s="66"/>
      <c r="C1231" s="66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5">
      <c r="A1232" s="66"/>
      <c r="B1232" s="66"/>
      <c r="C1232" s="66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5">
      <c r="A1233" s="66"/>
      <c r="B1233" s="66"/>
      <c r="C1233" s="66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5">
      <c r="A1234" s="66"/>
      <c r="B1234" s="66"/>
      <c r="C1234" s="66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5">
      <c r="A1235" s="66"/>
      <c r="B1235" s="66"/>
      <c r="C1235" s="66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5">
      <c r="A1236" s="66"/>
      <c r="B1236" s="66"/>
      <c r="C1236" s="66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5">
      <c r="A1237" s="66"/>
      <c r="B1237" s="66"/>
      <c r="C1237" s="66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5">
      <c r="A1238" s="66"/>
      <c r="B1238" s="66"/>
      <c r="C1238" s="66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5">
      <c r="A1239" s="66"/>
      <c r="B1239" s="66"/>
      <c r="C1239" s="66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5">
      <c r="A1240" s="66"/>
      <c r="B1240" s="66"/>
      <c r="C1240" s="66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5">
      <c r="A1241" s="66"/>
      <c r="B1241" s="66"/>
      <c r="C1241" s="66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5">
      <c r="A1242" s="66"/>
      <c r="B1242" s="66"/>
      <c r="C1242" s="66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5">
      <c r="A1243" s="66"/>
      <c r="B1243" s="66"/>
      <c r="C1243" s="66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5">
      <c r="A1244" s="66"/>
      <c r="B1244" s="66"/>
      <c r="C1244" s="66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5">
      <c r="A1245" s="66"/>
      <c r="B1245" s="66"/>
      <c r="C1245" s="66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5">
      <c r="A1246" s="66"/>
      <c r="B1246" s="66"/>
      <c r="C1246" s="66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5">
      <c r="A1247" s="66"/>
      <c r="B1247" s="66"/>
      <c r="C1247" s="66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5">
      <c r="A1248" s="66"/>
      <c r="B1248" s="66"/>
      <c r="C1248" s="66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5">
      <c r="A1249" s="66"/>
      <c r="B1249" s="66"/>
      <c r="C1249" s="66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5">
      <c r="A1250" s="66"/>
      <c r="B1250" s="66"/>
      <c r="C1250" s="66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5">
      <c r="A1251" s="66"/>
      <c r="B1251" s="66"/>
      <c r="C1251" s="66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5">
      <c r="A1252" s="66"/>
      <c r="B1252" s="66"/>
      <c r="C1252" s="66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5">
      <c r="A1253" s="66"/>
      <c r="B1253" s="66"/>
      <c r="C1253" s="66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5">
      <c r="A1254" s="66"/>
      <c r="B1254" s="66"/>
      <c r="C1254" s="66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5">
      <c r="A1255" s="66"/>
      <c r="B1255" s="66"/>
      <c r="C1255" s="66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5">
      <c r="A1256" s="66"/>
      <c r="B1256" s="66"/>
      <c r="C1256" s="66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5">
      <c r="A1257" s="66"/>
      <c r="B1257" s="66"/>
      <c r="C1257" s="66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5">
      <c r="A1258" s="66"/>
      <c r="B1258" s="66"/>
      <c r="C1258" s="66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5">
      <c r="A1259" s="66"/>
      <c r="B1259" s="66"/>
      <c r="C1259" s="66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5">
      <c r="A1260" s="66"/>
      <c r="B1260" s="66"/>
      <c r="C1260" s="66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5">
      <c r="A1261" s="66"/>
      <c r="B1261" s="66"/>
      <c r="C1261" s="66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5">
      <c r="A1262" s="66"/>
      <c r="B1262" s="66"/>
      <c r="C1262" s="66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5">
      <c r="A1263" s="66"/>
      <c r="B1263" s="66"/>
      <c r="C1263" s="66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5">
      <c r="A1264" s="66"/>
      <c r="B1264" s="66"/>
      <c r="C1264" s="66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5">
      <c r="A1265" s="66"/>
      <c r="B1265" s="66"/>
      <c r="C1265" s="66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5">
      <c r="A1266" s="66"/>
      <c r="B1266" s="66"/>
      <c r="C1266" s="66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5">
      <c r="A1267" s="66"/>
      <c r="B1267" s="66"/>
      <c r="C1267" s="66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5">
      <c r="A1268" s="66"/>
      <c r="B1268" s="66"/>
      <c r="C1268" s="66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5">
      <c r="A1269" s="66"/>
      <c r="B1269" s="66"/>
      <c r="C1269" s="66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5">
      <c r="A1270" s="66"/>
      <c r="B1270" s="66"/>
      <c r="C1270" s="66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5">
      <c r="A1271" s="66"/>
      <c r="B1271" s="66"/>
      <c r="C1271" s="66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5">
      <c r="A1272" s="66"/>
      <c r="B1272" s="66"/>
      <c r="C1272" s="66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5">
      <c r="A1273" s="66"/>
      <c r="B1273" s="66"/>
      <c r="C1273" s="66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5">
      <c r="A1274" s="66"/>
      <c r="B1274" s="66"/>
      <c r="C1274" s="66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5">
      <c r="A1275" s="66"/>
      <c r="B1275" s="66"/>
      <c r="C1275" s="66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5">
      <c r="A1276" s="66"/>
      <c r="B1276" s="66"/>
      <c r="C1276" s="66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5">
      <c r="A1277" s="66"/>
      <c r="B1277" s="66"/>
      <c r="C1277" s="66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5">
      <c r="A1278" s="66"/>
      <c r="B1278" s="66"/>
      <c r="C1278" s="66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5">
      <c r="A1279" s="66"/>
      <c r="B1279" s="66"/>
      <c r="C1279" s="66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5">
      <c r="A1280" s="66"/>
      <c r="B1280" s="66"/>
      <c r="C1280" s="66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5">
      <c r="A1281" s="66"/>
      <c r="B1281" s="66"/>
      <c r="C1281" s="66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5">
      <c r="A1282" s="66"/>
      <c r="B1282" s="66"/>
      <c r="C1282" s="66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5">
      <c r="A1283" s="66"/>
      <c r="B1283" s="66"/>
      <c r="C1283" s="66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5">
      <c r="A1284" s="66"/>
      <c r="B1284" s="66"/>
      <c r="C1284" s="66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5">
      <c r="A1285" s="66"/>
      <c r="B1285" s="66"/>
      <c r="C1285" s="66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5">
      <c r="A1286" s="66"/>
      <c r="B1286" s="66"/>
      <c r="C1286" s="66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5">
      <c r="A1287" s="66"/>
      <c r="B1287" s="66"/>
      <c r="C1287" s="66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5">
      <c r="A1288" s="66"/>
      <c r="B1288" s="66"/>
      <c r="C1288" s="66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5">
      <c r="A1289" s="66"/>
      <c r="B1289" s="66"/>
      <c r="C1289" s="66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5">
      <c r="A1290" s="66"/>
      <c r="B1290" s="66"/>
      <c r="C1290" s="66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5">
      <c r="A1291" s="66"/>
      <c r="B1291" s="66"/>
      <c r="C1291" s="66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5">
      <c r="A1292" s="66"/>
      <c r="B1292" s="66"/>
      <c r="C1292" s="66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5">
      <c r="A1293" s="66"/>
      <c r="B1293" s="66"/>
      <c r="C1293" s="66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5">
      <c r="A1294" s="66"/>
      <c r="B1294" s="66"/>
      <c r="C1294" s="66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5">
      <c r="A1295" s="66"/>
      <c r="B1295" s="66"/>
      <c r="C1295" s="66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5">
      <c r="A1296" s="66"/>
      <c r="B1296" s="66"/>
      <c r="C1296" s="66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5">
      <c r="A1297" s="66"/>
      <c r="B1297" s="66"/>
      <c r="C1297" s="66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5">
      <c r="A1298" s="66"/>
      <c r="B1298" s="66"/>
      <c r="C1298" s="66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5">
      <c r="A1299" s="66"/>
      <c r="B1299" s="66"/>
      <c r="C1299" s="66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5">
      <c r="A1300" s="66"/>
      <c r="B1300" s="66"/>
      <c r="C1300" s="66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5">
      <c r="A1301" s="66"/>
      <c r="B1301" s="66"/>
      <c r="C1301" s="66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5">
      <c r="A1302" s="66"/>
      <c r="B1302" s="66"/>
      <c r="C1302" s="66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5">
      <c r="A1303" s="66"/>
      <c r="B1303" s="66"/>
      <c r="C1303" s="66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5">
      <c r="A1304" s="66"/>
      <c r="B1304" s="66"/>
      <c r="C1304" s="66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5">
      <c r="A1305" s="66"/>
      <c r="B1305" s="66"/>
      <c r="C1305" s="66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5">
      <c r="A1306" s="66"/>
      <c r="B1306" s="66"/>
      <c r="C1306" s="66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5">
      <c r="A1307" s="66"/>
      <c r="B1307" s="66"/>
      <c r="C1307" s="66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5">
      <c r="A1308" s="66"/>
      <c r="B1308" s="66"/>
      <c r="C1308" s="66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5">
      <c r="A1309" s="66"/>
      <c r="B1309" s="66"/>
      <c r="C1309" s="66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5">
      <c r="A1310" s="66"/>
      <c r="B1310" s="66"/>
      <c r="C1310" s="66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5">
      <c r="A1311" s="66"/>
      <c r="B1311" s="66"/>
      <c r="C1311" s="66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5">
      <c r="A1312" s="66"/>
      <c r="B1312" s="66"/>
      <c r="C1312" s="66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5">
      <c r="A1313" s="66"/>
      <c r="B1313" s="66"/>
      <c r="C1313" s="66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5">
      <c r="A1314" s="66"/>
      <c r="B1314" s="66"/>
      <c r="C1314" s="66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5">
      <c r="A1315" s="66"/>
      <c r="B1315" s="66"/>
      <c r="C1315" s="66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5">
      <c r="A1316" s="66"/>
      <c r="B1316" s="66"/>
      <c r="C1316" s="66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5">
      <c r="A1317" s="66"/>
      <c r="B1317" s="66"/>
      <c r="C1317" s="66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5">
      <c r="A1318" s="66"/>
      <c r="B1318" s="66"/>
      <c r="C1318" s="66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5">
      <c r="A1319" s="66"/>
      <c r="B1319" s="66"/>
      <c r="C1319" s="66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5">
      <c r="A1320" s="66"/>
      <c r="B1320" s="66"/>
      <c r="C1320" s="66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5">
      <c r="A1321" s="66"/>
      <c r="B1321" s="66"/>
      <c r="C1321" s="66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5">
      <c r="A1322" s="66"/>
      <c r="B1322" s="66"/>
      <c r="C1322" s="66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5">
      <c r="A1323" s="66"/>
      <c r="B1323" s="66"/>
      <c r="C1323" s="66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5">
      <c r="A1324" s="66"/>
      <c r="B1324" s="66"/>
      <c r="C1324" s="66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5">
      <c r="A1325" s="66"/>
      <c r="B1325" s="66"/>
      <c r="C1325" s="66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5">
      <c r="A1326" s="66"/>
      <c r="B1326" s="66"/>
      <c r="C1326" s="66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5">
      <c r="A1327" s="66"/>
      <c r="B1327" s="66"/>
      <c r="C1327" s="66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5">
      <c r="A1328" s="66"/>
      <c r="B1328" s="66"/>
      <c r="C1328" s="66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5">
      <c r="A1329" s="66"/>
      <c r="B1329" s="66"/>
      <c r="C1329" s="66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5">
      <c r="A1330" s="66"/>
      <c r="B1330" s="66"/>
      <c r="C1330" s="66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5">
      <c r="A1331" s="66"/>
      <c r="B1331" s="66"/>
      <c r="C1331" s="66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5">
      <c r="A1332" s="66"/>
      <c r="B1332" s="66"/>
      <c r="C1332" s="66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5">
      <c r="A1333" s="66"/>
      <c r="B1333" s="66"/>
      <c r="C1333" s="66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5">
      <c r="A1334" s="66"/>
      <c r="B1334" s="66"/>
      <c r="C1334" s="66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5">
      <c r="A1335" s="66"/>
      <c r="B1335" s="66"/>
      <c r="C1335" s="66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5">
      <c r="A1336" s="66"/>
      <c r="B1336" s="66"/>
      <c r="C1336" s="66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5">
      <c r="A1337" s="66"/>
      <c r="B1337" s="66"/>
      <c r="C1337" s="66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5">
      <c r="A1338" s="66"/>
      <c r="B1338" s="66"/>
      <c r="C1338" s="66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5">
      <c r="A1339" s="66"/>
      <c r="B1339" s="66"/>
      <c r="C1339" s="66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5">
      <c r="A1340" s="66"/>
      <c r="B1340" s="66"/>
      <c r="C1340" s="66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5">
      <c r="A1341" s="66"/>
      <c r="B1341" s="66"/>
      <c r="C1341" s="66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5">
      <c r="A1342" s="66"/>
      <c r="B1342" s="66"/>
      <c r="C1342" s="66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5">
      <c r="A1343" s="66"/>
      <c r="B1343" s="66"/>
      <c r="C1343" s="66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5">
      <c r="A1344" s="66"/>
      <c r="B1344" s="66"/>
      <c r="C1344" s="66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5">
      <c r="A1345" s="66"/>
      <c r="B1345" s="66"/>
      <c r="C1345" s="66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5">
      <c r="A1346" s="66"/>
      <c r="B1346" s="66"/>
      <c r="C1346" s="66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5">
      <c r="A1347" s="66"/>
      <c r="B1347" s="66"/>
      <c r="C1347" s="66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5">
      <c r="A1348" s="66"/>
      <c r="B1348" s="66"/>
      <c r="C1348" s="66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5">
      <c r="A1349" s="66"/>
      <c r="B1349" s="66"/>
      <c r="C1349" s="66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5">
      <c r="A1350" s="66"/>
      <c r="B1350" s="66"/>
      <c r="C1350" s="66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5">
      <c r="A1351" s="66"/>
      <c r="B1351" s="66"/>
      <c r="C1351" s="66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5">
      <c r="A1352" s="66"/>
      <c r="B1352" s="66"/>
      <c r="C1352" s="66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5">
      <c r="A1353" s="66"/>
      <c r="B1353" s="66"/>
      <c r="C1353" s="66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5">
      <c r="A1354" s="66"/>
      <c r="B1354" s="66"/>
      <c r="C1354" s="66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5">
      <c r="A1355" s="66"/>
      <c r="B1355" s="66"/>
      <c r="C1355" s="66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5">
      <c r="A1356" s="66"/>
      <c r="B1356" s="66"/>
      <c r="C1356" s="66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5">
      <c r="A1357" s="66"/>
      <c r="B1357" s="66"/>
      <c r="C1357" s="66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5">
      <c r="A1358" s="66"/>
      <c r="B1358" s="66"/>
      <c r="C1358" s="66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5">
      <c r="A1359" s="66"/>
      <c r="B1359" s="66"/>
      <c r="C1359" s="66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5">
      <c r="A1360" s="66"/>
      <c r="B1360" s="66"/>
      <c r="C1360" s="66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5">
      <c r="A1361" s="66"/>
      <c r="B1361" s="66"/>
      <c r="C1361" s="66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5">
      <c r="A1362" s="66"/>
      <c r="B1362" s="66"/>
      <c r="C1362" s="66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5">
      <c r="A1363" s="66"/>
      <c r="B1363" s="66"/>
      <c r="C1363" s="66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5">
      <c r="A1364" s="66"/>
      <c r="B1364" s="66"/>
      <c r="C1364" s="66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5">
      <c r="A1365" s="66"/>
      <c r="B1365" s="66"/>
      <c r="C1365" s="66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5">
      <c r="A1366" s="66"/>
      <c r="B1366" s="66"/>
      <c r="C1366" s="66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5">
      <c r="A1367" s="66"/>
      <c r="B1367" s="66"/>
      <c r="C1367" s="66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5">
      <c r="A1368" s="66"/>
      <c r="B1368" s="66"/>
      <c r="C1368" s="66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5">
      <c r="A1369" s="66"/>
      <c r="B1369" s="66"/>
      <c r="C1369" s="66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5">
      <c r="A1370" s="66"/>
      <c r="B1370" s="66"/>
      <c r="C1370" s="66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5">
      <c r="A1371" s="66"/>
      <c r="B1371" s="66"/>
      <c r="C1371" s="66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5">
      <c r="A1372" s="66"/>
      <c r="B1372" s="66"/>
      <c r="C1372" s="66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5">
      <c r="A1373" s="66"/>
      <c r="B1373" s="66"/>
      <c r="C1373" s="66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5">
      <c r="A1374" s="66"/>
      <c r="B1374" s="66"/>
      <c r="C1374" s="66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5">
      <c r="A1375" s="66"/>
      <c r="B1375" s="66"/>
      <c r="C1375" s="66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5">
      <c r="A1376" s="66"/>
      <c r="B1376" s="66"/>
      <c r="C1376" s="66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5">
      <c r="A1377" s="66"/>
      <c r="B1377" s="66"/>
      <c r="C1377" s="66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5">
      <c r="A1378" s="66"/>
      <c r="B1378" s="66"/>
      <c r="C1378" s="66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5">
      <c r="A1379" s="66"/>
      <c r="B1379" s="66"/>
      <c r="C1379" s="66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5">
      <c r="A1380" s="66"/>
      <c r="B1380" s="66"/>
      <c r="C1380" s="66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5">
      <c r="A1381" s="66"/>
      <c r="B1381" s="66"/>
      <c r="C1381" s="66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5">
      <c r="A1382" s="66"/>
      <c r="B1382" s="66"/>
      <c r="C1382" s="66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5">
      <c r="A1383" s="66"/>
      <c r="B1383" s="66"/>
      <c r="C1383" s="66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5">
      <c r="A1384" s="66"/>
      <c r="B1384" s="66"/>
      <c r="C1384" s="66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5">
      <c r="A1385" s="66"/>
      <c r="B1385" s="66"/>
      <c r="C1385" s="66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5">
      <c r="A1386" s="66"/>
      <c r="B1386" s="66"/>
      <c r="C1386" s="66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5">
      <c r="A1387" s="66"/>
      <c r="B1387" s="66"/>
      <c r="C1387" s="66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5">
      <c r="A1388" s="66"/>
      <c r="B1388" s="66"/>
      <c r="C1388" s="66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5">
      <c r="A1389" s="66"/>
      <c r="B1389" s="66"/>
      <c r="C1389" s="66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5">
      <c r="A1390" s="66"/>
      <c r="B1390" s="66"/>
      <c r="C1390" s="66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5">
      <c r="A1391" s="66"/>
      <c r="B1391" s="66"/>
      <c r="C1391" s="66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5">
      <c r="A1392" s="66"/>
      <c r="B1392" s="66"/>
      <c r="C1392" s="66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5">
      <c r="A1393" s="66"/>
      <c r="B1393" s="66"/>
      <c r="C1393" s="66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5">
      <c r="A1394" s="66"/>
      <c r="B1394" s="66"/>
      <c r="C1394" s="66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5">
      <c r="A1395" s="66"/>
      <c r="B1395" s="66"/>
      <c r="C1395" s="66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5">
      <c r="A1396" s="66"/>
      <c r="B1396" s="66"/>
      <c r="C1396" s="66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5">
      <c r="A1397" s="66"/>
      <c r="B1397" s="66"/>
      <c r="C1397" s="66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5">
      <c r="A1398" s="66"/>
      <c r="B1398" s="66"/>
      <c r="C1398" s="66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5">
      <c r="A1399" s="66"/>
      <c r="B1399" s="66"/>
      <c r="C1399" s="66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5">
      <c r="A1400" s="66"/>
      <c r="B1400" s="66"/>
      <c r="C1400" s="66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5">
      <c r="A1401" s="66"/>
      <c r="B1401" s="66"/>
      <c r="C1401" s="66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5">
      <c r="A1402" s="66"/>
      <c r="B1402" s="66"/>
      <c r="C1402" s="66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5">
      <c r="A1403" s="66"/>
      <c r="B1403" s="66"/>
      <c r="C1403" s="66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5">
      <c r="A1404" s="66"/>
      <c r="B1404" s="66"/>
      <c r="C1404" s="66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5">
      <c r="A1405" s="66"/>
      <c r="B1405" s="66"/>
      <c r="C1405" s="66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5">
      <c r="A1406" s="66"/>
      <c r="B1406" s="66"/>
      <c r="C1406" s="66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5">
      <c r="A1407" s="66"/>
      <c r="B1407" s="66"/>
      <c r="C1407" s="66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5">
      <c r="A1408" s="66"/>
      <c r="B1408" s="66"/>
      <c r="C1408" s="66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5">
      <c r="A1409" s="66"/>
      <c r="B1409" s="66"/>
      <c r="C1409" s="66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5">
      <c r="A1410" s="66"/>
      <c r="B1410" s="66"/>
      <c r="C1410" s="66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5">
      <c r="A1411" s="66"/>
      <c r="B1411" s="66"/>
      <c r="C1411" s="66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5">
      <c r="A1412" s="66"/>
      <c r="B1412" s="66"/>
      <c r="C1412" s="66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5">
      <c r="A1413" s="66"/>
      <c r="B1413" s="66"/>
      <c r="C1413" s="66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5">
      <c r="A1414" s="66"/>
      <c r="B1414" s="66"/>
      <c r="C1414" s="66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5">
      <c r="A1415" s="66"/>
      <c r="B1415" s="66"/>
      <c r="C1415" s="66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5">
      <c r="A1416" s="66"/>
      <c r="B1416" s="66"/>
      <c r="C1416" s="66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5">
      <c r="A1417" s="66"/>
      <c r="B1417" s="66"/>
      <c r="C1417" s="66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5">
      <c r="A1418" s="66"/>
      <c r="B1418" s="66"/>
      <c r="C1418" s="66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5">
      <c r="A1419" s="66"/>
      <c r="B1419" s="66"/>
      <c r="C1419" s="66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5">
      <c r="A1420" s="66"/>
      <c r="B1420" s="66"/>
      <c r="C1420" s="66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5">
      <c r="A1421" s="66"/>
      <c r="B1421" s="66"/>
      <c r="C1421" s="66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5">
      <c r="A1422" s="66"/>
      <c r="B1422" s="66"/>
      <c r="C1422" s="66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5">
      <c r="A1423" s="66"/>
      <c r="B1423" s="66"/>
      <c r="C1423" s="66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5">
      <c r="A1424" s="66"/>
      <c r="B1424" s="66"/>
      <c r="C1424" s="66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5">
      <c r="A1425" s="66"/>
      <c r="B1425" s="66"/>
      <c r="C1425" s="66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5">
      <c r="A1426" s="66"/>
      <c r="B1426" s="66"/>
      <c r="C1426" s="66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5">
      <c r="A1427" s="66"/>
      <c r="B1427" s="66"/>
      <c r="C1427" s="66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5">
      <c r="A1428" s="66"/>
      <c r="B1428" s="66"/>
      <c r="C1428" s="66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5">
      <c r="A1429" s="66"/>
      <c r="B1429" s="66"/>
      <c r="C1429" s="66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5">
      <c r="A1430" s="66"/>
      <c r="B1430" s="66"/>
      <c r="C1430" s="66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5">
      <c r="A1431" s="66"/>
      <c r="B1431" s="66"/>
      <c r="C1431" s="66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5">
      <c r="A1432" s="66"/>
      <c r="B1432" s="66"/>
      <c r="C1432" s="66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5">
      <c r="A1433" s="66"/>
      <c r="B1433" s="66"/>
      <c r="C1433" s="66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5">
      <c r="A1434" s="66"/>
      <c r="B1434" s="66"/>
      <c r="C1434" s="66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5">
      <c r="A1435" s="66"/>
      <c r="B1435" s="66"/>
      <c r="C1435" s="66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5">
      <c r="A1436" s="66"/>
      <c r="B1436" s="66"/>
      <c r="C1436" s="66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5">
      <c r="A1437" s="66"/>
      <c r="B1437" s="66"/>
      <c r="C1437" s="66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5">
      <c r="A1438" s="66"/>
      <c r="B1438" s="66"/>
      <c r="C1438" s="66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5">
      <c r="A1439" s="66"/>
      <c r="B1439" s="66"/>
      <c r="C1439" s="66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5">
      <c r="A1440" s="66"/>
      <c r="B1440" s="66"/>
      <c r="C1440" s="66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5">
      <c r="A1441" s="66"/>
      <c r="B1441" s="66"/>
      <c r="C1441" s="66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5">
      <c r="A1442" s="66"/>
      <c r="B1442" s="66"/>
      <c r="C1442" s="66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5">
      <c r="A1443" s="66"/>
      <c r="B1443" s="66"/>
      <c r="C1443" s="66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5">
      <c r="A1444" s="66"/>
      <c r="B1444" s="66"/>
      <c r="C1444" s="66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5">
      <c r="A1445" s="66"/>
      <c r="B1445" s="66"/>
      <c r="C1445" s="66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5">
      <c r="A1446" s="66"/>
      <c r="B1446" s="66"/>
      <c r="C1446" s="66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5">
      <c r="A1447" s="66"/>
      <c r="B1447" s="66"/>
      <c r="C1447" s="66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5">
      <c r="A1448" s="66"/>
      <c r="B1448" s="66"/>
      <c r="C1448" s="66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5">
      <c r="A1449" s="66"/>
      <c r="B1449" s="66"/>
      <c r="C1449" s="66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5">
      <c r="A1450" s="66"/>
      <c r="B1450" s="66"/>
      <c r="C1450" s="66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5">
      <c r="A1451" s="66"/>
      <c r="B1451" s="66"/>
      <c r="C1451" s="66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5">
      <c r="A1452" s="66"/>
      <c r="B1452" s="66"/>
      <c r="C1452" s="66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5">
      <c r="A1453" s="66"/>
      <c r="B1453" s="66"/>
      <c r="C1453" s="66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5">
      <c r="A1454" s="66"/>
      <c r="B1454" s="66"/>
      <c r="C1454" s="66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5">
      <c r="A1455" s="66"/>
      <c r="B1455" s="66"/>
      <c r="C1455" s="66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5">
      <c r="A1456" s="66"/>
      <c r="B1456" s="66"/>
      <c r="C1456" s="66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5">
      <c r="A1457" s="66"/>
      <c r="B1457" s="66"/>
      <c r="C1457" s="66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5">
      <c r="A1458" s="66"/>
      <c r="B1458" s="66"/>
      <c r="C1458" s="66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5">
      <c r="A1459" s="66"/>
      <c r="B1459" s="66"/>
      <c r="C1459" s="66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5">
      <c r="A1460" s="66"/>
      <c r="B1460" s="66"/>
      <c r="C1460" s="66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5">
      <c r="A1461" s="66"/>
      <c r="B1461" s="66"/>
      <c r="C1461" s="66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5">
      <c r="A1462" s="66"/>
      <c r="B1462" s="66"/>
      <c r="C1462" s="66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5">
      <c r="A1463" s="66"/>
      <c r="B1463" s="66"/>
      <c r="C1463" s="66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5">
      <c r="A1464" s="66"/>
      <c r="B1464" s="66"/>
      <c r="C1464" s="66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5">
      <c r="A1465" s="66"/>
      <c r="B1465" s="66"/>
      <c r="C1465" s="66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5">
      <c r="A1466" s="66"/>
      <c r="B1466" s="66"/>
      <c r="C1466" s="66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5">
      <c r="A1467" s="66"/>
      <c r="B1467" s="66"/>
      <c r="C1467" s="66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5">
      <c r="A1468" s="66"/>
      <c r="B1468" s="66"/>
      <c r="C1468" s="66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5">
      <c r="A1469" s="66"/>
      <c r="B1469" s="66"/>
      <c r="C1469" s="66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5">
      <c r="A1470" s="66"/>
      <c r="B1470" s="66"/>
      <c r="C1470" s="66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5">
      <c r="A1471" s="66"/>
      <c r="B1471" s="66"/>
      <c r="C1471" s="66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5">
      <c r="A1472" s="66"/>
      <c r="B1472" s="66"/>
      <c r="C1472" s="66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5">
      <c r="A1473" s="66"/>
      <c r="B1473" s="66"/>
      <c r="C1473" s="66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5">
      <c r="A1474" s="66"/>
      <c r="B1474" s="66"/>
      <c r="C1474" s="66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5">
      <c r="A1475" s="66"/>
      <c r="B1475" s="66"/>
      <c r="C1475" s="66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5">
      <c r="A1476" s="66"/>
      <c r="B1476" s="66"/>
      <c r="C1476" s="66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5">
      <c r="A1477" s="66"/>
      <c r="B1477" s="66"/>
      <c r="C1477" s="66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5">
      <c r="A1478" s="66"/>
      <c r="B1478" s="66"/>
      <c r="C1478" s="66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5">
      <c r="A1479" s="66"/>
      <c r="B1479" s="66"/>
      <c r="C1479" s="66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5">
      <c r="A1480" s="66"/>
      <c r="B1480" s="66"/>
      <c r="C1480" s="66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5">
      <c r="A1481" s="66"/>
      <c r="B1481" s="66"/>
      <c r="C1481" s="66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5">
      <c r="A1482" s="66"/>
      <c r="B1482" s="66"/>
      <c r="C1482" s="66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5">
      <c r="A1483" s="66"/>
      <c r="B1483" s="66"/>
      <c r="C1483" s="66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5">
      <c r="A1484" s="66"/>
      <c r="B1484" s="66"/>
      <c r="C1484" s="66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5">
      <c r="A1485" s="66"/>
      <c r="B1485" s="66"/>
      <c r="C1485" s="66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5">
      <c r="A1486" s="66"/>
      <c r="B1486" s="66"/>
      <c r="C1486" s="66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5">
      <c r="A1487" s="66"/>
      <c r="B1487" s="66"/>
      <c r="C1487" s="66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5">
      <c r="A1488" s="66"/>
      <c r="B1488" s="66"/>
      <c r="C1488" s="66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5">
      <c r="A1489" s="66"/>
      <c r="B1489" s="66"/>
      <c r="C1489" s="66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5">
      <c r="A1490" s="66"/>
      <c r="B1490" s="66"/>
      <c r="C1490" s="66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5">
      <c r="A1491" s="66"/>
      <c r="B1491" s="66"/>
      <c r="C1491" s="66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5">
      <c r="A1492" s="66"/>
      <c r="B1492" s="66"/>
      <c r="C1492" s="66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5">
      <c r="A1493" s="66"/>
      <c r="B1493" s="66"/>
      <c r="C1493" s="66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5">
      <c r="A1494" s="66"/>
      <c r="B1494" s="66"/>
      <c r="C1494" s="66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5">
      <c r="A1495" s="66"/>
      <c r="B1495" s="66"/>
      <c r="C1495" s="66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5">
      <c r="A1496" s="66"/>
      <c r="B1496" s="66"/>
      <c r="C1496" s="66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5">
      <c r="A1497" s="66"/>
      <c r="B1497" s="66"/>
      <c r="C1497" s="66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5">
      <c r="A1498" s="66"/>
      <c r="B1498" s="66"/>
      <c r="C1498" s="66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5">
      <c r="A1499" s="66"/>
      <c r="B1499" s="66"/>
      <c r="C1499" s="66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5">
      <c r="A1500" s="66"/>
      <c r="B1500" s="66"/>
      <c r="C1500" s="66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5">
      <c r="A1501" s="66"/>
      <c r="B1501" s="66"/>
      <c r="C1501" s="66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5">
      <c r="A1502" s="66"/>
      <c r="B1502" s="66"/>
      <c r="C1502" s="66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5">
      <c r="A1503" s="66"/>
      <c r="B1503" s="66"/>
      <c r="C1503" s="66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5">
      <c r="A1504" s="66"/>
      <c r="B1504" s="66"/>
      <c r="C1504" s="66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5">
      <c r="A1505" s="66"/>
      <c r="B1505" s="66"/>
      <c r="C1505" s="66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5">
      <c r="A1506" s="66"/>
      <c r="B1506" s="66"/>
      <c r="C1506" s="66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5">
      <c r="A1507" s="66"/>
      <c r="B1507" s="66"/>
      <c r="C1507" s="66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5">
      <c r="A1508" s="66"/>
      <c r="B1508" s="66"/>
      <c r="C1508" s="66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5">
      <c r="A1509" s="66"/>
      <c r="B1509" s="66"/>
      <c r="C1509" s="66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5">
      <c r="A1510" s="66"/>
      <c r="B1510" s="66"/>
      <c r="C1510" s="66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5">
      <c r="A1511" s="66"/>
      <c r="B1511" s="66"/>
      <c r="C1511" s="66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5">
      <c r="A1512" s="66"/>
      <c r="B1512" s="66"/>
      <c r="C1512" s="66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5">
      <c r="A1513" s="66"/>
      <c r="B1513" s="66"/>
      <c r="C1513" s="66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5">
      <c r="A1514" s="66"/>
      <c r="B1514" s="66"/>
      <c r="C1514" s="66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5">
      <c r="A1515" s="66"/>
      <c r="B1515" s="66"/>
      <c r="C1515" s="66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5">
      <c r="A1516" s="66"/>
      <c r="B1516" s="66"/>
      <c r="C1516" s="66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5">
      <c r="A1517" s="66"/>
      <c r="B1517" s="66"/>
      <c r="C1517" s="66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5">
      <c r="A1518" s="66"/>
      <c r="B1518" s="66"/>
      <c r="C1518" s="66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5">
      <c r="A1519" s="66"/>
      <c r="B1519" s="66"/>
      <c r="C1519" s="66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5">
      <c r="A1520" s="66"/>
      <c r="B1520" s="66"/>
      <c r="C1520" s="66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5">
      <c r="A1521" s="66"/>
      <c r="B1521" s="66"/>
      <c r="C1521" s="66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5">
      <c r="A1522" s="66"/>
      <c r="B1522" s="66"/>
      <c r="C1522" s="66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5">
      <c r="A1523" s="66"/>
      <c r="B1523" s="66"/>
      <c r="C1523" s="66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5">
      <c r="A1524" s="66"/>
      <c r="B1524" s="66"/>
      <c r="C1524" s="66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5">
      <c r="A1525" s="66"/>
      <c r="B1525" s="66"/>
      <c r="C1525" s="66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5">
      <c r="A1526" s="66"/>
      <c r="B1526" s="66"/>
      <c r="C1526" s="66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5">
      <c r="A1527" s="66"/>
      <c r="B1527" s="66"/>
      <c r="C1527" s="66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5">
      <c r="A1528" s="66"/>
      <c r="B1528" s="66"/>
      <c r="C1528" s="66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5">
      <c r="A1529" s="66"/>
      <c r="B1529" s="66"/>
      <c r="C1529" s="66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5">
      <c r="A1530" s="66"/>
      <c r="B1530" s="66"/>
      <c r="C1530" s="66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5">
      <c r="A1531" s="66"/>
      <c r="B1531" s="66"/>
      <c r="C1531" s="66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5">
      <c r="A1532" s="66"/>
      <c r="B1532" s="66"/>
      <c r="C1532" s="66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5">
      <c r="A1533" s="66"/>
      <c r="B1533" s="66"/>
      <c r="C1533" s="66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5">
      <c r="A1534" s="66"/>
      <c r="B1534" s="66"/>
      <c r="C1534" s="66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5">
      <c r="A1535" s="66"/>
      <c r="B1535" s="66"/>
      <c r="C1535" s="66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5">
      <c r="A1536" s="66"/>
      <c r="B1536" s="66"/>
      <c r="C1536" s="66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5">
      <c r="A1537" s="66"/>
      <c r="B1537" s="66"/>
      <c r="C1537" s="66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5">
      <c r="A1538" s="66"/>
      <c r="B1538" s="66"/>
      <c r="C1538" s="66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5">
      <c r="A1539" s="66"/>
      <c r="B1539" s="66"/>
      <c r="C1539" s="66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5">
      <c r="A1540" s="66"/>
      <c r="B1540" s="66"/>
      <c r="C1540" s="66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5">
      <c r="A1541" s="66"/>
      <c r="B1541" s="66"/>
      <c r="C1541" s="66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5">
      <c r="A1542" s="66"/>
      <c r="B1542" s="66"/>
      <c r="C1542" s="66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5">
      <c r="A1543" s="66"/>
      <c r="B1543" s="66"/>
      <c r="C1543" s="66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5">
      <c r="A1544" s="66"/>
      <c r="B1544" s="66"/>
      <c r="C1544" s="66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5">
      <c r="A1545" s="66"/>
      <c r="B1545" s="66"/>
      <c r="C1545" s="66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5">
      <c r="A1546" s="66"/>
      <c r="B1546" s="66"/>
      <c r="C1546" s="66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5">
      <c r="A1547" s="66"/>
      <c r="B1547" s="66"/>
      <c r="C1547" s="66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5">
      <c r="A1548" s="66"/>
      <c r="B1548" s="66"/>
      <c r="C1548" s="66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5">
      <c r="A1549" s="66"/>
      <c r="B1549" s="66"/>
      <c r="C1549" s="66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5">
      <c r="A1550" s="66"/>
      <c r="B1550" s="66"/>
      <c r="C1550" s="66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5">
      <c r="A1551" s="66"/>
      <c r="B1551" s="66"/>
      <c r="C1551" s="66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5">
      <c r="A1552" s="66"/>
      <c r="B1552" s="66"/>
      <c r="C1552" s="66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5">
      <c r="A1553" s="66"/>
      <c r="B1553" s="66"/>
      <c r="C1553" s="66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5">
      <c r="A1554" s="66"/>
      <c r="B1554" s="66"/>
      <c r="C1554" s="66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5">
      <c r="A1555" s="66"/>
      <c r="B1555" s="66"/>
      <c r="C1555" s="66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5">
      <c r="A1556" s="66"/>
      <c r="B1556" s="66"/>
      <c r="C1556" s="66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5">
      <c r="A1557" s="66"/>
      <c r="B1557" s="66"/>
      <c r="C1557" s="66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5">
      <c r="A1558" s="66"/>
      <c r="B1558" s="66"/>
      <c r="C1558" s="66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5">
      <c r="A1559" s="66"/>
      <c r="B1559" s="66"/>
      <c r="C1559" s="66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5">
      <c r="A1560" s="66"/>
      <c r="B1560" s="66"/>
      <c r="C1560" s="66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5">
      <c r="A1561" s="66"/>
      <c r="B1561" s="66"/>
      <c r="C1561" s="66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5">
      <c r="A1562" s="66"/>
      <c r="B1562" s="66"/>
      <c r="C1562" s="66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5">
      <c r="A1563" s="66"/>
      <c r="B1563" s="66"/>
      <c r="C1563" s="66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5">
      <c r="A1564" s="66"/>
      <c r="B1564" s="66"/>
      <c r="C1564" s="66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5">
      <c r="A1565" s="66"/>
      <c r="B1565" s="66"/>
      <c r="C1565" s="66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5">
      <c r="A1566" s="66"/>
      <c r="B1566" s="66"/>
      <c r="C1566" s="66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5">
      <c r="A1567" s="66"/>
      <c r="B1567" s="66"/>
      <c r="C1567" s="66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5">
      <c r="A1568" s="66"/>
      <c r="B1568" s="66"/>
      <c r="C1568" s="66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5">
      <c r="A1569" s="66"/>
      <c r="B1569" s="66"/>
      <c r="C1569" s="66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5">
      <c r="A1570" s="66"/>
      <c r="B1570" s="66"/>
      <c r="C1570" s="66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5">
      <c r="A1571" s="66"/>
      <c r="B1571" s="66"/>
      <c r="C1571" s="66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5">
      <c r="A1572" s="66"/>
      <c r="B1572" s="66"/>
      <c r="C1572" s="66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5">
      <c r="A1573" s="66"/>
      <c r="B1573" s="66"/>
      <c r="C1573" s="66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5">
      <c r="A1574" s="66"/>
      <c r="B1574" s="66"/>
      <c r="C1574" s="66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5">
      <c r="A1575" s="66"/>
      <c r="B1575" s="66"/>
      <c r="C1575" s="66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5">
      <c r="A1576" s="66"/>
      <c r="B1576" s="66"/>
      <c r="C1576" s="66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5">
      <c r="A1577" s="66"/>
      <c r="B1577" s="66"/>
      <c r="C1577" s="66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5">
      <c r="A1578" s="66"/>
      <c r="B1578" s="66"/>
      <c r="C1578" s="66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5">
      <c r="A1579" s="66"/>
      <c r="B1579" s="66"/>
      <c r="C1579" s="66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5">
      <c r="A1580" s="66"/>
      <c r="B1580" s="66"/>
      <c r="C1580" s="66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5">
      <c r="A1581" s="66"/>
      <c r="B1581" s="66"/>
      <c r="C1581" s="66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5">
      <c r="A1582" s="66"/>
      <c r="B1582" s="66"/>
      <c r="C1582" s="66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5">
      <c r="A1583" s="66"/>
      <c r="B1583" s="66"/>
      <c r="C1583" s="66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5">
      <c r="A1584" s="66"/>
      <c r="B1584" s="66"/>
      <c r="C1584" s="66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5">
      <c r="A1585" s="66"/>
      <c r="B1585" s="66"/>
      <c r="C1585" s="66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5">
      <c r="A1586" s="66"/>
      <c r="B1586" s="66"/>
      <c r="C1586" s="66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5">
      <c r="A1587" s="66"/>
      <c r="B1587" s="66"/>
      <c r="C1587" s="66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5">
      <c r="A1588" s="66"/>
      <c r="B1588" s="66"/>
      <c r="C1588" s="66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5">
      <c r="A1589" s="66"/>
      <c r="B1589" s="66"/>
      <c r="C1589" s="66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5">
      <c r="A1590" s="66"/>
      <c r="B1590" s="66"/>
      <c r="C1590" s="66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5">
      <c r="A1591" s="66"/>
      <c r="B1591" s="66"/>
      <c r="C1591" s="66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5">
      <c r="A1592" s="66"/>
      <c r="B1592" s="66"/>
      <c r="C1592" s="66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5">
      <c r="A1593" s="66"/>
      <c r="B1593" s="66"/>
      <c r="C1593" s="66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5">
      <c r="A1594" s="66"/>
      <c r="B1594" s="66"/>
      <c r="C1594" s="66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5">
      <c r="A1595" s="66"/>
      <c r="B1595" s="66"/>
      <c r="C1595" s="66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5">
      <c r="A1596" s="66"/>
      <c r="B1596" s="66"/>
      <c r="C1596" s="66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5">
      <c r="A1597" s="66"/>
      <c r="B1597" s="66"/>
      <c r="C1597" s="66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5">
      <c r="A1598" s="66"/>
      <c r="B1598" s="66"/>
      <c r="C1598" s="66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5">
      <c r="A1599" s="66"/>
      <c r="B1599" s="66"/>
      <c r="C1599" s="66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5">
      <c r="A1600" s="66"/>
      <c r="B1600" s="66"/>
      <c r="C1600" s="66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5">
      <c r="A1601" s="66"/>
      <c r="B1601" s="66"/>
      <c r="C1601" s="66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5">
      <c r="A1602" s="66"/>
      <c r="B1602" s="66"/>
      <c r="C1602" s="66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5">
      <c r="A1603" s="66"/>
      <c r="B1603" s="66"/>
      <c r="C1603" s="66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5">
      <c r="A1604" s="66"/>
      <c r="B1604" s="66"/>
      <c r="C1604" s="66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5">
      <c r="A1605" s="66"/>
      <c r="B1605" s="66"/>
      <c r="C1605" s="66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5">
      <c r="A1606" s="66"/>
      <c r="B1606" s="66"/>
      <c r="C1606" s="66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5">
      <c r="A1607" s="66"/>
      <c r="B1607" s="66"/>
      <c r="C1607" s="66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5">
      <c r="A1608" s="66"/>
      <c r="B1608" s="66"/>
      <c r="C1608" s="66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5">
      <c r="A1609" s="66"/>
      <c r="B1609" s="66"/>
      <c r="C1609" s="66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5">
      <c r="A1610" s="66"/>
      <c r="B1610" s="66"/>
      <c r="C1610" s="66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5">
      <c r="A1611" s="66"/>
      <c r="B1611" s="66"/>
      <c r="C1611" s="66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5">
      <c r="A1612" s="66"/>
      <c r="B1612" s="66"/>
      <c r="C1612" s="66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5">
      <c r="A1613" s="66"/>
      <c r="B1613" s="66"/>
      <c r="C1613" s="66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5">
      <c r="A1614" s="66"/>
      <c r="B1614" s="66"/>
      <c r="C1614" s="66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5">
      <c r="A1615" s="66"/>
      <c r="B1615" s="66"/>
      <c r="C1615" s="66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5">
      <c r="A1616" s="66"/>
      <c r="B1616" s="66"/>
      <c r="C1616" s="66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5">
      <c r="A1617" s="66"/>
      <c r="B1617" s="66"/>
      <c r="C1617" s="66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5">
      <c r="A1618" s="66"/>
      <c r="B1618" s="66"/>
      <c r="C1618" s="66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5">
      <c r="A1619" s="66"/>
      <c r="B1619" s="66"/>
      <c r="C1619" s="66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5">
      <c r="A1620" s="66"/>
      <c r="B1620" s="66"/>
      <c r="C1620" s="66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5">
      <c r="A1621" s="66"/>
      <c r="B1621" s="66"/>
      <c r="C1621" s="66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5">
      <c r="A1622" s="66"/>
      <c r="B1622" s="66"/>
      <c r="C1622" s="66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5">
      <c r="A1623" s="66"/>
      <c r="B1623" s="66"/>
      <c r="C1623" s="66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5">
      <c r="A1624" s="66"/>
      <c r="B1624" s="66"/>
      <c r="C1624" s="66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5">
      <c r="A1625" s="66"/>
      <c r="B1625" s="66"/>
      <c r="C1625" s="66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5">
      <c r="A1626" s="66"/>
      <c r="B1626" s="66"/>
      <c r="C1626" s="66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5">
      <c r="A1627" s="66"/>
      <c r="B1627" s="66"/>
      <c r="C1627" s="66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5">
      <c r="A1628" s="66"/>
      <c r="B1628" s="66"/>
      <c r="C1628" s="66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5">
      <c r="A1629" s="66"/>
      <c r="B1629" s="66"/>
      <c r="C1629" s="66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5">
      <c r="A1630" s="66"/>
      <c r="B1630" s="66"/>
      <c r="C1630" s="66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5">
      <c r="A1631" s="66"/>
      <c r="B1631" s="66"/>
      <c r="C1631" s="66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5">
      <c r="A1632" s="66"/>
      <c r="B1632" s="66"/>
      <c r="C1632" s="66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5">
      <c r="A1633" s="66"/>
      <c r="B1633" s="66"/>
      <c r="C1633" s="66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5">
      <c r="A1634" s="66"/>
      <c r="B1634" s="66"/>
      <c r="C1634" s="66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5">
      <c r="A1635" s="66"/>
      <c r="B1635" s="66"/>
      <c r="C1635" s="66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5">
      <c r="A1636" s="66"/>
      <c r="B1636" s="66"/>
      <c r="C1636" s="66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5">
      <c r="A1637" s="66"/>
      <c r="B1637" s="66"/>
      <c r="C1637" s="66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5">
      <c r="A1638" s="66"/>
      <c r="B1638" s="66"/>
      <c r="C1638" s="66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5">
      <c r="A1639" s="66"/>
      <c r="B1639" s="66"/>
      <c r="C1639" s="66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5">
      <c r="A1640" s="66"/>
      <c r="B1640" s="66"/>
      <c r="C1640" s="66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5">
      <c r="A1641" s="66"/>
      <c r="B1641" s="66"/>
      <c r="C1641" s="66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5">
      <c r="A1642" s="66"/>
      <c r="B1642" s="66"/>
      <c r="C1642" s="66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5">
      <c r="A1643" s="66"/>
      <c r="B1643" s="66"/>
      <c r="C1643" s="66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5">
      <c r="A1644" s="66"/>
      <c r="B1644" s="66"/>
      <c r="C1644" s="66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5">
      <c r="A1645" s="66"/>
      <c r="B1645" s="66"/>
      <c r="C1645" s="66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5">
      <c r="A1646" s="66"/>
      <c r="B1646" s="66"/>
      <c r="C1646" s="66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5">
      <c r="A1647" s="66"/>
      <c r="B1647" s="66"/>
      <c r="C1647" s="66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5">
      <c r="A1648" s="66"/>
      <c r="B1648" s="66"/>
      <c r="C1648" s="66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5">
      <c r="A1649" s="66"/>
      <c r="B1649" s="66"/>
      <c r="C1649" s="66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5">
      <c r="A1650" s="66"/>
      <c r="B1650" s="66"/>
      <c r="C1650" s="66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5">
      <c r="A1651" s="66"/>
      <c r="B1651" s="66"/>
      <c r="C1651" s="66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5">
      <c r="A1652" s="66"/>
      <c r="B1652" s="66"/>
      <c r="C1652" s="66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5">
      <c r="A1653" s="66"/>
      <c r="B1653" s="66"/>
      <c r="C1653" s="66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5">
      <c r="A1654" s="66"/>
      <c r="B1654" s="66"/>
      <c r="C1654" s="66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5">
      <c r="A1655" s="66"/>
      <c r="B1655" s="66"/>
      <c r="C1655" s="66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5">
      <c r="A1656" s="66"/>
      <c r="B1656" s="66"/>
      <c r="C1656" s="66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5">
      <c r="A1657" s="66"/>
      <c r="B1657" s="66"/>
      <c r="C1657" s="66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5">
      <c r="A1658" s="66"/>
      <c r="B1658" s="66"/>
      <c r="C1658" s="66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5">
      <c r="A1659" s="66"/>
      <c r="B1659" s="66"/>
      <c r="C1659" s="66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5">
      <c r="A1660" s="66"/>
      <c r="B1660" s="66"/>
      <c r="C1660" s="66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5">
      <c r="A1661" s="66"/>
      <c r="B1661" s="66"/>
      <c r="C1661" s="66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5">
      <c r="A1662" s="66"/>
      <c r="B1662" s="66"/>
      <c r="C1662" s="66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5">
      <c r="A1663" s="66"/>
      <c r="B1663" s="66"/>
      <c r="C1663" s="66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5">
      <c r="A1664" s="66"/>
      <c r="B1664" s="66"/>
      <c r="C1664" s="66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5">
      <c r="A1665" s="66"/>
      <c r="B1665" s="66"/>
      <c r="C1665" s="66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5">
      <c r="A1666" s="66"/>
      <c r="B1666" s="66"/>
      <c r="C1666" s="66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5">
      <c r="A1667" s="66"/>
      <c r="B1667" s="66"/>
      <c r="C1667" s="66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5">
      <c r="A1668" s="66"/>
      <c r="B1668" s="66"/>
      <c r="C1668" s="66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5">
      <c r="A1669" s="66"/>
      <c r="B1669" s="66"/>
      <c r="C1669" s="66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5">
      <c r="A1670" s="66"/>
      <c r="B1670" s="66"/>
      <c r="C1670" s="66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5">
      <c r="A1671" s="66"/>
      <c r="B1671" s="66"/>
      <c r="C1671" s="66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5">
      <c r="A1672" s="66"/>
      <c r="B1672" s="66"/>
      <c r="C1672" s="66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5">
      <c r="A1673" s="66"/>
      <c r="B1673" s="66"/>
      <c r="C1673" s="66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5">
      <c r="A1674" s="66"/>
      <c r="B1674" s="66"/>
      <c r="C1674" s="66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5">
      <c r="A1675" s="66"/>
      <c r="B1675" s="66"/>
      <c r="C1675" s="66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5">
      <c r="A1676" s="66"/>
      <c r="B1676" s="66"/>
      <c r="C1676" s="66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5">
      <c r="A1677" s="66"/>
      <c r="B1677" s="66"/>
      <c r="C1677" s="66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5">
      <c r="A1678" s="66"/>
      <c r="B1678" s="66"/>
      <c r="C1678" s="66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5">
      <c r="A1679" s="66"/>
      <c r="B1679" s="66"/>
      <c r="C1679" s="66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5">
      <c r="A1680" s="66"/>
      <c r="B1680" s="66"/>
      <c r="C1680" s="66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5">
      <c r="A1681" s="66"/>
      <c r="B1681" s="66"/>
      <c r="C1681" s="66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5">
      <c r="A1682" s="66"/>
      <c r="B1682" s="66"/>
      <c r="C1682" s="66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5">
      <c r="A1683" s="66"/>
      <c r="B1683" s="66"/>
      <c r="C1683" s="66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5">
      <c r="A1684" s="66"/>
      <c r="B1684" s="66"/>
      <c r="C1684" s="66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5">
      <c r="A1685" s="66"/>
      <c r="B1685" s="66"/>
      <c r="C1685" s="66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5">
      <c r="A1686" s="66"/>
      <c r="B1686" s="66"/>
      <c r="C1686" s="66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5">
      <c r="A1687" s="66"/>
      <c r="B1687" s="66"/>
      <c r="C1687" s="66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5">
      <c r="A1688" s="66"/>
      <c r="B1688" s="66"/>
      <c r="C1688" s="66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5">
      <c r="A1689" s="66"/>
      <c r="B1689" s="66"/>
      <c r="C1689" s="66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5">
      <c r="A1690" s="66"/>
      <c r="B1690" s="66"/>
      <c r="C1690" s="66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5">
      <c r="A1691" s="66"/>
      <c r="B1691" s="66"/>
      <c r="C1691" s="66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5">
      <c r="A1692" s="66"/>
      <c r="B1692" s="66"/>
      <c r="C1692" s="66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5">
      <c r="A1693" s="66"/>
      <c r="B1693" s="66"/>
      <c r="C1693" s="66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5">
      <c r="A1694" s="66"/>
      <c r="B1694" s="66"/>
      <c r="C1694" s="66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5">
      <c r="A1695" s="66"/>
      <c r="B1695" s="66"/>
      <c r="C1695" s="66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5">
      <c r="A1696" s="66"/>
      <c r="B1696" s="66"/>
      <c r="C1696" s="66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5">
      <c r="A1697" s="66"/>
      <c r="B1697" s="66"/>
      <c r="C1697" s="66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5">
      <c r="A1698" s="66"/>
      <c r="B1698" s="66"/>
      <c r="C1698" s="66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5">
      <c r="A1699" s="66"/>
      <c r="B1699" s="66"/>
      <c r="C1699" s="66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5">
      <c r="A1700" s="66"/>
      <c r="B1700" s="66"/>
      <c r="C1700" s="66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5">
      <c r="A1701" s="66"/>
      <c r="B1701" s="66"/>
      <c r="C1701" s="66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5">
      <c r="A1702" s="66"/>
      <c r="B1702" s="66"/>
      <c r="C1702" s="66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5">
      <c r="A1703" s="66"/>
      <c r="B1703" s="66"/>
      <c r="C1703" s="66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5">
      <c r="A1704" s="66"/>
      <c r="B1704" s="66"/>
      <c r="C1704" s="66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5">
      <c r="A1705" s="66"/>
      <c r="B1705" s="66"/>
      <c r="C1705" s="66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5">
      <c r="A1706" s="66"/>
      <c r="B1706" s="66"/>
      <c r="C1706" s="66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5">
      <c r="A1707" s="66"/>
      <c r="B1707" s="66"/>
      <c r="C1707" s="66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5">
      <c r="A1708" s="66"/>
      <c r="B1708" s="66"/>
      <c r="C1708" s="66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5">
      <c r="A1709" s="66"/>
      <c r="B1709" s="66"/>
      <c r="C1709" s="66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5">
      <c r="A1710" s="66"/>
      <c r="B1710" s="66"/>
      <c r="C1710" s="66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5">
      <c r="A1711" s="66"/>
      <c r="B1711" s="66"/>
      <c r="C1711" s="66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5">
      <c r="A1712" s="66"/>
      <c r="B1712" s="66"/>
      <c r="C1712" s="66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5">
      <c r="A1713" s="66"/>
      <c r="B1713" s="66"/>
      <c r="C1713" s="66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5">
      <c r="A1714" s="66"/>
      <c r="B1714" s="66"/>
      <c r="C1714" s="66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5">
      <c r="A1715" s="66"/>
      <c r="B1715" s="66"/>
      <c r="C1715" s="66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5">
      <c r="A1716" s="66"/>
      <c r="B1716" s="66"/>
      <c r="C1716" s="66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5">
      <c r="A1717" s="66"/>
      <c r="B1717" s="66"/>
      <c r="C1717" s="66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5">
      <c r="A1718" s="66"/>
      <c r="B1718" s="66"/>
      <c r="C1718" s="66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5">
      <c r="A1719" s="66"/>
      <c r="B1719" s="66"/>
      <c r="C1719" s="66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5">
      <c r="A1720" s="66"/>
      <c r="B1720" s="66"/>
      <c r="C1720" s="66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5">
      <c r="A1721" s="66"/>
      <c r="B1721" s="66"/>
      <c r="C1721" s="66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5">
      <c r="A1722" s="66"/>
      <c r="B1722" s="66"/>
      <c r="C1722" s="66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5">
      <c r="A1723" s="66"/>
      <c r="B1723" s="66"/>
      <c r="C1723" s="66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5">
      <c r="A1724" s="66"/>
      <c r="B1724" s="66"/>
      <c r="C1724" s="66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5">
      <c r="A1725" s="66"/>
      <c r="B1725" s="66"/>
      <c r="C1725" s="66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5">
      <c r="A1726" s="66"/>
      <c r="B1726" s="66"/>
      <c r="C1726" s="66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5">
      <c r="A1727" s="66"/>
      <c r="B1727" s="66"/>
      <c r="C1727" s="66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5">
      <c r="A1728" s="66"/>
      <c r="B1728" s="66"/>
      <c r="C1728" s="66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5">
      <c r="A1729" s="66"/>
      <c r="B1729" s="66"/>
      <c r="C1729" s="66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5">
      <c r="A1730" s="66"/>
      <c r="B1730" s="66"/>
      <c r="C1730" s="66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5">
      <c r="A1731" s="66"/>
      <c r="B1731" s="66"/>
      <c r="C1731" s="66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5">
      <c r="A1732" s="66"/>
      <c r="B1732" s="66"/>
      <c r="C1732" s="66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5">
      <c r="A1733" s="66"/>
      <c r="B1733" s="66"/>
      <c r="C1733" s="66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5">
      <c r="A1734" s="66"/>
      <c r="B1734" s="66"/>
      <c r="C1734" s="66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5">
      <c r="A1735" s="66"/>
      <c r="B1735" s="66"/>
      <c r="C1735" s="66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5">
      <c r="A1736" s="66"/>
      <c r="B1736" s="66"/>
      <c r="C1736" s="66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5">
      <c r="A1737" s="66"/>
      <c r="B1737" s="66"/>
      <c r="C1737" s="66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5">
      <c r="A1738" s="66"/>
      <c r="B1738" s="66"/>
      <c r="C1738" s="66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5">
      <c r="A1739" s="66"/>
      <c r="B1739" s="66"/>
      <c r="C1739" s="66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5">
      <c r="A1740" s="66"/>
      <c r="B1740" s="66"/>
      <c r="C1740" s="66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5">
      <c r="A1741" s="66"/>
      <c r="B1741" s="66"/>
      <c r="C1741" s="66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5">
      <c r="A1742" s="66"/>
      <c r="B1742" s="66"/>
      <c r="C1742" s="66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5">
      <c r="A1743" s="66"/>
      <c r="B1743" s="66"/>
      <c r="C1743" s="66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5">
      <c r="A1744" s="66"/>
      <c r="B1744" s="66"/>
      <c r="C1744" s="66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5">
      <c r="A1745" s="66"/>
      <c r="B1745" s="66"/>
      <c r="C1745" s="66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5">
      <c r="A1746" s="66"/>
      <c r="B1746" s="66"/>
      <c r="C1746" s="66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5">
      <c r="A1747" s="66"/>
      <c r="B1747" s="66"/>
      <c r="C1747" s="66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5">
      <c r="A1748" s="66"/>
      <c r="B1748" s="66"/>
      <c r="C1748" s="66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5">
      <c r="A1749" s="66"/>
      <c r="B1749" s="66"/>
      <c r="C1749" s="66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5">
      <c r="A1750" s="66"/>
      <c r="B1750" s="66"/>
      <c r="C1750" s="66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5">
      <c r="A1751" s="66"/>
      <c r="B1751" s="66"/>
      <c r="C1751" s="66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5">
      <c r="A1752" s="66"/>
      <c r="B1752" s="66"/>
      <c r="C1752" s="66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5">
      <c r="A1753" s="66"/>
      <c r="B1753" s="66"/>
      <c r="C1753" s="66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5">
      <c r="A1754" s="66"/>
      <c r="B1754" s="66"/>
      <c r="C1754" s="66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5">
      <c r="A1755" s="66"/>
      <c r="B1755" s="66"/>
      <c r="C1755" s="66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5">
      <c r="A1756" s="66"/>
      <c r="B1756" s="66"/>
      <c r="C1756" s="66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5">
      <c r="A1757" s="66"/>
      <c r="B1757" s="66"/>
      <c r="C1757" s="66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5">
      <c r="A1758" s="66"/>
      <c r="B1758" s="66"/>
      <c r="C1758" s="66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5">
      <c r="A1759" s="66"/>
      <c r="B1759" s="66"/>
      <c r="C1759" s="66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5">
      <c r="A1760" s="66"/>
      <c r="B1760" s="66"/>
      <c r="C1760" s="66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5">
      <c r="A1761" s="66"/>
      <c r="B1761" s="66"/>
      <c r="C1761" s="66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5">
      <c r="A1762" s="66"/>
      <c r="B1762" s="66"/>
      <c r="C1762" s="66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5">
      <c r="A1763" s="66"/>
      <c r="B1763" s="66"/>
      <c r="C1763" s="66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5">
      <c r="A1764" s="66"/>
      <c r="B1764" s="66"/>
      <c r="C1764" s="66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5">
      <c r="A1765" s="66"/>
      <c r="B1765" s="66"/>
      <c r="C1765" s="66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5">
      <c r="A1766" s="66"/>
      <c r="B1766" s="66"/>
      <c r="C1766" s="66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5">
      <c r="A1767" s="66"/>
      <c r="B1767" s="66"/>
      <c r="C1767" s="66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5">
      <c r="A1768" s="66"/>
      <c r="B1768" s="66"/>
      <c r="C1768" s="66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5">
      <c r="A1769" s="66"/>
      <c r="B1769" s="66"/>
      <c r="C1769" s="66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5">
      <c r="A1770" s="66"/>
      <c r="B1770" s="66"/>
      <c r="C1770" s="66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5">
      <c r="A1771" s="66"/>
      <c r="B1771" s="66"/>
      <c r="C1771" s="66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5">
      <c r="A1772" s="66"/>
      <c r="B1772" s="66"/>
      <c r="C1772" s="66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5">
      <c r="A1773" s="66"/>
      <c r="B1773" s="66"/>
      <c r="C1773" s="66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5">
      <c r="A1774" s="66"/>
      <c r="B1774" s="66"/>
      <c r="C1774" s="66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5">
      <c r="A1775" s="66"/>
      <c r="B1775" s="66"/>
      <c r="C1775" s="66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5">
      <c r="A1776" s="66"/>
      <c r="B1776" s="66"/>
      <c r="C1776" s="66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5">
      <c r="A1777" s="66"/>
      <c r="B1777" s="66"/>
      <c r="C1777" s="66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5">
      <c r="A1778" s="66"/>
      <c r="B1778" s="66"/>
      <c r="C1778" s="66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5">
      <c r="A1779" s="66"/>
      <c r="B1779" s="66"/>
      <c r="C1779" s="66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5">
      <c r="A1780" s="66"/>
      <c r="B1780" s="66"/>
      <c r="C1780" s="66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5">
      <c r="A1781" s="66"/>
      <c r="B1781" s="66"/>
      <c r="C1781" s="66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5">
      <c r="A1782" s="66"/>
      <c r="B1782" s="66"/>
      <c r="C1782" s="66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5">
      <c r="A1783" s="66"/>
      <c r="B1783" s="66"/>
      <c r="C1783" s="66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5">
      <c r="A1784" s="66"/>
      <c r="B1784" s="66"/>
      <c r="C1784" s="66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5">
      <c r="A1785" s="66"/>
      <c r="B1785" s="66"/>
      <c r="C1785" s="66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5">
      <c r="A1786" s="66"/>
      <c r="B1786" s="66"/>
      <c r="C1786" s="66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5">
      <c r="A1787" s="66"/>
      <c r="B1787" s="66"/>
      <c r="C1787" s="66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5">
      <c r="A1788" s="66"/>
      <c r="B1788" s="66"/>
      <c r="C1788" s="66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5">
      <c r="A1789" s="66"/>
      <c r="B1789" s="66"/>
      <c r="C1789" s="66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5">
      <c r="A1790" s="66"/>
      <c r="B1790" s="66"/>
      <c r="C1790" s="66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5">
      <c r="A1791" s="66"/>
      <c r="B1791" s="66"/>
      <c r="C1791" s="66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5">
      <c r="A1792" s="66"/>
      <c r="B1792" s="66"/>
      <c r="C1792" s="66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5">
      <c r="A1793" s="66"/>
      <c r="B1793" s="66"/>
      <c r="C1793" s="66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5">
      <c r="A1794" s="66"/>
      <c r="B1794" s="66"/>
      <c r="C1794" s="66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5">
      <c r="A1795" s="66"/>
      <c r="B1795" s="66"/>
      <c r="C1795" s="66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5">
      <c r="A1796" s="66"/>
      <c r="B1796" s="66"/>
      <c r="C1796" s="66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5">
      <c r="A1797" s="66"/>
      <c r="B1797" s="66"/>
      <c r="C1797" s="66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5">
      <c r="A1798" s="66"/>
      <c r="B1798" s="66"/>
      <c r="C1798" s="66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5">
      <c r="A1799" s="66"/>
      <c r="B1799" s="66"/>
      <c r="C1799" s="66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5">
      <c r="A1800" s="66"/>
      <c r="B1800" s="66"/>
      <c r="C1800" s="66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5">
      <c r="A1801" s="66"/>
      <c r="B1801" s="66"/>
      <c r="C1801" s="66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5">
      <c r="A1802" s="66"/>
      <c r="B1802" s="66"/>
      <c r="C1802" s="66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5">
      <c r="A1803" s="66"/>
      <c r="B1803" s="66"/>
      <c r="C1803" s="66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5">
      <c r="A1804" s="66"/>
      <c r="B1804" s="66"/>
      <c r="C1804" s="66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5">
      <c r="A1805" s="66"/>
      <c r="B1805" s="66"/>
      <c r="C1805" s="66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5">
      <c r="A1806" s="66"/>
      <c r="B1806" s="66"/>
      <c r="C1806" s="66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5">
      <c r="A1807" s="66"/>
      <c r="B1807" s="66"/>
      <c r="C1807" s="66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5">
      <c r="A1808" s="66"/>
      <c r="B1808" s="66"/>
      <c r="C1808" s="66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5">
      <c r="A1809" s="66"/>
      <c r="B1809" s="66"/>
      <c r="C1809" s="66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5">
      <c r="A1810" s="66"/>
      <c r="B1810" s="66"/>
      <c r="C1810" s="66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5">
      <c r="A1811" s="66"/>
      <c r="B1811" s="66"/>
      <c r="C1811" s="66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5">
      <c r="A1812" s="66"/>
      <c r="B1812" s="66"/>
      <c r="C1812" s="66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5">
      <c r="A1813" s="66"/>
      <c r="B1813" s="66"/>
      <c r="C1813" s="66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5">
      <c r="A1814" s="66"/>
      <c r="B1814" s="66"/>
      <c r="C1814" s="66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5">
      <c r="A1815" s="66"/>
      <c r="B1815" s="66"/>
      <c r="C1815" s="66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5">
      <c r="A1816" s="66"/>
      <c r="B1816" s="66"/>
      <c r="C1816" s="66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5">
      <c r="A1817" s="66"/>
      <c r="B1817" s="66"/>
      <c r="C1817" s="66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5">
      <c r="A1818" s="66"/>
      <c r="B1818" s="66"/>
      <c r="C1818" s="66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5">
      <c r="A1819" s="66"/>
      <c r="B1819" s="66"/>
      <c r="C1819" s="66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5">
      <c r="A1820" s="66"/>
      <c r="B1820" s="66"/>
      <c r="C1820" s="66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5">
      <c r="A1821" s="66"/>
      <c r="B1821" s="66"/>
      <c r="C1821" s="66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5">
      <c r="A1822" s="66"/>
      <c r="B1822" s="66"/>
      <c r="C1822" s="66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5">
      <c r="A1823" s="66"/>
      <c r="B1823" s="66"/>
      <c r="C1823" s="66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5">
      <c r="A1824" s="66"/>
      <c r="B1824" s="66"/>
      <c r="C1824" s="66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5">
      <c r="A1825" s="66"/>
      <c r="B1825" s="66"/>
      <c r="C1825" s="66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5">
      <c r="A1826" s="66"/>
      <c r="B1826" s="66"/>
      <c r="C1826" s="66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5">
      <c r="A1827" s="66"/>
      <c r="B1827" s="66"/>
      <c r="C1827" s="66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5">
      <c r="A1828" s="66"/>
      <c r="B1828" s="66"/>
      <c r="C1828" s="66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5">
      <c r="A1829" s="66"/>
      <c r="B1829" s="66"/>
      <c r="C1829" s="66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5">
      <c r="A1830" s="66"/>
      <c r="B1830" s="66"/>
      <c r="C1830" s="66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5">
      <c r="A1831" s="66"/>
      <c r="B1831" s="66"/>
      <c r="C1831" s="66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5">
      <c r="A1832" s="66"/>
      <c r="B1832" s="66"/>
      <c r="C1832" s="66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5">
      <c r="A1833" s="66"/>
      <c r="B1833" s="66"/>
      <c r="C1833" s="66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5">
      <c r="A1834" s="66"/>
      <c r="B1834" s="66"/>
      <c r="C1834" s="66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5">
      <c r="A1835" s="66"/>
      <c r="B1835" s="66"/>
      <c r="C1835" s="66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5">
      <c r="A1836" s="66"/>
      <c r="B1836" s="66"/>
      <c r="C1836" s="66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5">
      <c r="A1837" s="66"/>
      <c r="B1837" s="66"/>
      <c r="C1837" s="66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5">
      <c r="A1838" s="66"/>
      <c r="B1838" s="66"/>
      <c r="C1838" s="66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5">
      <c r="A1839" s="66"/>
      <c r="B1839" s="66"/>
      <c r="C1839" s="66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5">
      <c r="A1840" s="66"/>
      <c r="B1840" s="66"/>
      <c r="C1840" s="66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5">
      <c r="A1841" s="66"/>
      <c r="B1841" s="66"/>
      <c r="C1841" s="66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5">
      <c r="A1842" s="66"/>
      <c r="B1842" s="66"/>
      <c r="C1842" s="66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5">
      <c r="A1843" s="66"/>
      <c r="B1843" s="66"/>
      <c r="C1843" s="66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5">
      <c r="A1844" s="66"/>
      <c r="B1844" s="66"/>
      <c r="C1844" s="66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5">
      <c r="A1845" s="66"/>
      <c r="B1845" s="66"/>
      <c r="C1845" s="66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5">
      <c r="A1846" s="66"/>
      <c r="B1846" s="66"/>
      <c r="C1846" s="66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5">
      <c r="A1847" s="66"/>
      <c r="B1847" s="66"/>
      <c r="C1847" s="66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5">
      <c r="A1848" s="66"/>
      <c r="B1848" s="66"/>
      <c r="C1848" s="66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5">
      <c r="A1849" s="66"/>
      <c r="B1849" s="66"/>
      <c r="C1849" s="66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5">
      <c r="A1850" s="66"/>
      <c r="B1850" s="66"/>
      <c r="C1850" s="66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5">
      <c r="A1851" s="66"/>
      <c r="B1851" s="66"/>
      <c r="C1851" s="66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5">
      <c r="A1852" s="66"/>
      <c r="B1852" s="66"/>
      <c r="C1852" s="66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5">
      <c r="A1853" s="66"/>
      <c r="B1853" s="66"/>
      <c r="C1853" s="66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5">
      <c r="A1854" s="66"/>
      <c r="B1854" s="66"/>
      <c r="C1854" s="66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5">
      <c r="A1855" s="66"/>
      <c r="B1855" s="66"/>
      <c r="C1855" s="66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5">
      <c r="A1856" s="66"/>
      <c r="B1856" s="66"/>
      <c r="C1856" s="66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5">
      <c r="A1857" s="66"/>
      <c r="B1857" s="66"/>
      <c r="C1857" s="66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5">
      <c r="A1858" s="66"/>
      <c r="B1858" s="66"/>
      <c r="C1858" s="66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5">
      <c r="A1859" s="66"/>
      <c r="B1859" s="66"/>
      <c r="C1859" s="66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5">
      <c r="A1860" s="66"/>
      <c r="B1860" s="66"/>
      <c r="C1860" s="66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5">
      <c r="A1861" s="66"/>
      <c r="B1861" s="66"/>
      <c r="C1861" s="66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5">
      <c r="A1862" s="66"/>
      <c r="B1862" s="66"/>
      <c r="C1862" s="66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5">
      <c r="A1863" s="66"/>
      <c r="B1863" s="66"/>
      <c r="C1863" s="66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5">
      <c r="A1864" s="66"/>
      <c r="B1864" s="66"/>
      <c r="C1864" s="66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5">
      <c r="A1865" s="66"/>
      <c r="B1865" s="66"/>
      <c r="C1865" s="66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5">
      <c r="A1866" s="66"/>
      <c r="B1866" s="66"/>
      <c r="C1866" s="66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5">
      <c r="A1867" s="66"/>
      <c r="B1867" s="66"/>
      <c r="C1867" s="66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5">
      <c r="A1868" s="66"/>
      <c r="B1868" s="66"/>
      <c r="C1868" s="66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5">
      <c r="A1869" s="66"/>
      <c r="B1869" s="66"/>
      <c r="C1869" s="66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5">
      <c r="A1870" s="66"/>
      <c r="B1870" s="66"/>
      <c r="C1870" s="66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5">
      <c r="A1871" s="66"/>
      <c r="B1871" s="66"/>
      <c r="C1871" s="66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5">
      <c r="A1872" s="66"/>
      <c r="B1872" s="66"/>
      <c r="C1872" s="66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5">
      <c r="A1873" s="66"/>
      <c r="B1873" s="66"/>
      <c r="C1873" s="66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5">
      <c r="A1874" s="66"/>
      <c r="B1874" s="66"/>
      <c r="C1874" s="66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5">
      <c r="A1875" s="66"/>
      <c r="B1875" s="66"/>
      <c r="C1875" s="66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5">
      <c r="A1876" s="66"/>
      <c r="B1876" s="66"/>
      <c r="C1876" s="66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5">
      <c r="A1877" s="66"/>
      <c r="B1877" s="66"/>
      <c r="C1877" s="66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5">
      <c r="A1878" s="66"/>
      <c r="B1878" s="66"/>
      <c r="C1878" s="66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5">
      <c r="A1879" s="66"/>
      <c r="B1879" s="66"/>
      <c r="C1879" s="66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5">
      <c r="A1880" s="66"/>
      <c r="B1880" s="66"/>
      <c r="C1880" s="66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5">
      <c r="A1881" s="66"/>
      <c r="B1881" s="66"/>
      <c r="C1881" s="66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5">
      <c r="A1882" s="66"/>
      <c r="B1882" s="66"/>
      <c r="C1882" s="66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5">
      <c r="A1883" s="66"/>
      <c r="B1883" s="66"/>
      <c r="C1883" s="66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5">
      <c r="A1884" s="66"/>
      <c r="B1884" s="66"/>
      <c r="C1884" s="66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5">
      <c r="A1885" s="66"/>
      <c r="B1885" s="66"/>
      <c r="C1885" s="66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5">
      <c r="A1886" s="66"/>
      <c r="B1886" s="66"/>
      <c r="C1886" s="66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5">
      <c r="A1887" s="66"/>
      <c r="B1887" s="66"/>
      <c r="C1887" s="66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5">
      <c r="A1888" s="66"/>
      <c r="B1888" s="66"/>
      <c r="C1888" s="66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5">
      <c r="A1889" s="66"/>
      <c r="B1889" s="66"/>
      <c r="C1889" s="66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5">
      <c r="A1890" s="66"/>
      <c r="B1890" s="66"/>
      <c r="C1890" s="66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5">
      <c r="A1891" s="66"/>
      <c r="B1891" s="66"/>
      <c r="C1891" s="66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5">
      <c r="A1892" s="66"/>
      <c r="B1892" s="66"/>
      <c r="C1892" s="66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5">
      <c r="A1893" s="66"/>
      <c r="B1893" s="66"/>
      <c r="C1893" s="66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5">
      <c r="A1894" s="66"/>
      <c r="B1894" s="66"/>
      <c r="C1894" s="66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5">
      <c r="A1895" s="66"/>
      <c r="B1895" s="66"/>
      <c r="C1895" s="66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5">
      <c r="A1896" s="66"/>
      <c r="B1896" s="66"/>
      <c r="C1896" s="66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5">
      <c r="A1897" s="66"/>
      <c r="B1897" s="66"/>
      <c r="C1897" s="66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5">
      <c r="A1898" s="66"/>
      <c r="B1898" s="66"/>
      <c r="C1898" s="66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5">
      <c r="A1899" s="66"/>
      <c r="B1899" s="66"/>
      <c r="C1899" s="66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5">
      <c r="A1900" s="66"/>
      <c r="B1900" s="66"/>
      <c r="C1900" s="66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5">
      <c r="A1901" s="66"/>
      <c r="B1901" s="66"/>
      <c r="C1901" s="66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5">
      <c r="A1902" s="66"/>
      <c r="B1902" s="66"/>
      <c r="C1902" s="66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5">
      <c r="A1903" s="66"/>
      <c r="B1903" s="66"/>
      <c r="C1903" s="66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5">
      <c r="A1904" s="66"/>
      <c r="B1904" s="66"/>
      <c r="C1904" s="66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5">
      <c r="A1905" s="66"/>
      <c r="B1905" s="66"/>
      <c r="C1905" s="66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5">
      <c r="A1906" s="66"/>
      <c r="B1906" s="66"/>
      <c r="C1906" s="66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5">
      <c r="A1907" s="66"/>
      <c r="B1907" s="66"/>
      <c r="C1907" s="66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5">
      <c r="A1908" s="66"/>
      <c r="B1908" s="66"/>
      <c r="C1908" s="66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5">
      <c r="A1909" s="66"/>
      <c r="B1909" s="66"/>
      <c r="C1909" s="66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5">
      <c r="A1910" s="66"/>
      <c r="B1910" s="66"/>
      <c r="C1910" s="66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5">
      <c r="A1911" s="66"/>
      <c r="B1911" s="66"/>
      <c r="C1911" s="66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5">
      <c r="A1912" s="66"/>
      <c r="B1912" s="66"/>
      <c r="C1912" s="66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5">
      <c r="A1913" s="66"/>
      <c r="B1913" s="66"/>
      <c r="C1913" s="66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5">
      <c r="A1914" s="66"/>
      <c r="B1914" s="66"/>
      <c r="C1914" s="66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5">
      <c r="A1915" s="66"/>
      <c r="B1915" s="66"/>
      <c r="C1915" s="66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5">
      <c r="A1916" s="66"/>
      <c r="B1916" s="66"/>
      <c r="C1916" s="66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5">
      <c r="A1917" s="66"/>
      <c r="B1917" s="66"/>
      <c r="C1917" s="66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5">
      <c r="A1918" s="66"/>
      <c r="B1918" s="66"/>
      <c r="C1918" s="66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5">
      <c r="A1919" s="66"/>
      <c r="B1919" s="66"/>
      <c r="C1919" s="66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5">
      <c r="A1920" s="66"/>
      <c r="B1920" s="66"/>
      <c r="C1920" s="66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5">
      <c r="A1921" s="66"/>
      <c r="B1921" s="66"/>
      <c r="C1921" s="66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5">
      <c r="A1922" s="66"/>
      <c r="B1922" s="66"/>
      <c r="C1922" s="66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5">
      <c r="A1923" s="66"/>
      <c r="B1923" s="66"/>
      <c r="C1923" s="66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5">
      <c r="A1924" s="66"/>
      <c r="B1924" s="66"/>
      <c r="C1924" s="66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5">
      <c r="A1925" s="66"/>
      <c r="B1925" s="66"/>
      <c r="C1925" s="66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5">
      <c r="A1926" s="66"/>
      <c r="B1926" s="66"/>
      <c r="C1926" s="66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5">
      <c r="A1927" s="66"/>
      <c r="B1927" s="66"/>
      <c r="C1927" s="66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5">
      <c r="A1928" s="66"/>
      <c r="B1928" s="66"/>
      <c r="C1928" s="66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5">
      <c r="A1929" s="66"/>
      <c r="B1929" s="66"/>
      <c r="C1929" s="66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5">
      <c r="A1930" s="66"/>
      <c r="B1930" s="66"/>
      <c r="C1930" s="66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5">
      <c r="A1931" s="66"/>
      <c r="B1931" s="66"/>
      <c r="C1931" s="66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5">
      <c r="A1932" s="66"/>
      <c r="B1932" s="66"/>
      <c r="C1932" s="66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5">
      <c r="A1933" s="66"/>
      <c r="B1933" s="66"/>
      <c r="C1933" s="66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5">
      <c r="A1934" s="66"/>
      <c r="B1934" s="66"/>
      <c r="C1934" s="66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5">
      <c r="A1935" s="66"/>
      <c r="B1935" s="66"/>
      <c r="C1935" s="66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5">
      <c r="A1936" s="66"/>
      <c r="B1936" s="66"/>
      <c r="C1936" s="66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5">
      <c r="A1937" s="66"/>
      <c r="B1937" s="66"/>
      <c r="C1937" s="66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5">
      <c r="A1938" s="66"/>
      <c r="B1938" s="66"/>
      <c r="C1938" s="66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5">
      <c r="A1939" s="66"/>
      <c r="B1939" s="66"/>
      <c r="C1939" s="66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5">
      <c r="A1940" s="66"/>
      <c r="B1940" s="66"/>
      <c r="C1940" s="66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5">
      <c r="A1941" s="66"/>
      <c r="B1941" s="66"/>
      <c r="C1941" s="66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5">
      <c r="A1942" s="66"/>
      <c r="B1942" s="66"/>
      <c r="C1942" s="66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5">
      <c r="A1943" s="66"/>
      <c r="B1943" s="66"/>
      <c r="C1943" s="66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5">
      <c r="A1944" s="66"/>
      <c r="B1944" s="66"/>
      <c r="C1944" s="66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5">
      <c r="A1945" s="66"/>
      <c r="B1945" s="66"/>
      <c r="C1945" s="66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5">
      <c r="A1946" s="66"/>
      <c r="B1946" s="66"/>
      <c r="C1946" s="66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5">
      <c r="A1947" s="66"/>
      <c r="B1947" s="66"/>
      <c r="C1947" s="66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5">
      <c r="A1948" s="66"/>
      <c r="B1948" s="66"/>
      <c r="C1948" s="66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5">
      <c r="A1949" s="66"/>
      <c r="B1949" s="66"/>
      <c r="C1949" s="66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5">
      <c r="A1950" s="66"/>
      <c r="B1950" s="66"/>
      <c r="C1950" s="66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5">
      <c r="A1951" s="66"/>
      <c r="B1951" s="66"/>
      <c r="C1951" s="66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5">
      <c r="A1952" s="66"/>
      <c r="B1952" s="66"/>
      <c r="C1952" s="66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5">
      <c r="A1953" s="66"/>
      <c r="B1953" s="66"/>
      <c r="C1953" s="66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5">
      <c r="A1954" s="66"/>
      <c r="B1954" s="66"/>
      <c r="C1954" s="66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5">
      <c r="A1955" s="66"/>
      <c r="B1955" s="66"/>
      <c r="C1955" s="66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5">
      <c r="A1956" s="66"/>
      <c r="B1956" s="66"/>
      <c r="C1956" s="66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5">
      <c r="A1957" s="66"/>
      <c r="B1957" s="66"/>
      <c r="C1957" s="66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5">
      <c r="A1958" s="66"/>
      <c r="B1958" s="66"/>
      <c r="C1958" s="66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5">
      <c r="A1959" s="66"/>
      <c r="B1959" s="66"/>
      <c r="C1959" s="66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5">
      <c r="A1960" s="66"/>
      <c r="B1960" s="66"/>
      <c r="C1960" s="66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5">
      <c r="A1961" s="66"/>
      <c r="B1961" s="66"/>
      <c r="C1961" s="66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5">
      <c r="A1962" s="66"/>
      <c r="B1962" s="66"/>
      <c r="C1962" s="66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5">
      <c r="A1963" s="66"/>
      <c r="B1963" s="66"/>
      <c r="C1963" s="66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5">
      <c r="A1964" s="66"/>
      <c r="B1964" s="66"/>
      <c r="C1964" s="66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5">
      <c r="A1965" s="66"/>
      <c r="B1965" s="66"/>
      <c r="C1965" s="66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5">
      <c r="A1966" s="66"/>
      <c r="B1966" s="66"/>
      <c r="C1966" s="66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5">
      <c r="A1967" s="66"/>
      <c r="B1967" s="66"/>
      <c r="C1967" s="66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5">
      <c r="A1968" s="66"/>
      <c r="B1968" s="66"/>
      <c r="C1968" s="66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5">
      <c r="A1969" s="66"/>
      <c r="B1969" s="66"/>
      <c r="C1969" s="66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5">
      <c r="A1970" s="66"/>
      <c r="B1970" s="66"/>
      <c r="C1970" s="66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5">
      <c r="A1971" s="66"/>
      <c r="B1971" s="66"/>
      <c r="C1971" s="66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5">
      <c r="A1972" s="66"/>
      <c r="B1972" s="66"/>
      <c r="C1972" s="66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5">
      <c r="A1973" s="66"/>
      <c r="B1973" s="66"/>
      <c r="C1973" s="66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5">
      <c r="A1974" s="66"/>
      <c r="B1974" s="66"/>
      <c r="C1974" s="66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5">
      <c r="A1975" s="66"/>
      <c r="B1975" s="66"/>
      <c r="C1975" s="66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5">
      <c r="A1976" s="66"/>
      <c r="B1976" s="66"/>
      <c r="C1976" s="66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5">
      <c r="A1977" s="66"/>
      <c r="B1977" s="66"/>
      <c r="C1977" s="66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5">
      <c r="A1978" s="66"/>
      <c r="B1978" s="66"/>
      <c r="C1978" s="66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5">
      <c r="A1979" s="66"/>
      <c r="B1979" s="66"/>
      <c r="C1979" s="66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5">
      <c r="A1980" s="66"/>
      <c r="B1980" s="66"/>
      <c r="C1980" s="66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5">
      <c r="A1981" s="66"/>
      <c r="B1981" s="66"/>
      <c r="C1981" s="66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5">
      <c r="A1982" s="66"/>
      <c r="B1982" s="66"/>
      <c r="C1982" s="66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5">
      <c r="A1983" s="66"/>
      <c r="B1983" s="66"/>
      <c r="C1983" s="66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5">
      <c r="A1984" s="66"/>
      <c r="B1984" s="66"/>
      <c r="C1984" s="66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5">
      <c r="A1985" s="66"/>
      <c r="B1985" s="66"/>
      <c r="C1985" s="66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5">
      <c r="A1986" s="66"/>
      <c r="B1986" s="66"/>
      <c r="C1986" s="66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5">
      <c r="A1987" s="66"/>
      <c r="B1987" s="66"/>
      <c r="C1987" s="66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5">
      <c r="A1988" s="66"/>
      <c r="B1988" s="66"/>
      <c r="C1988" s="66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5">
      <c r="A1989" s="66"/>
      <c r="B1989" s="66"/>
      <c r="C1989" s="66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5">
      <c r="A1990" s="66"/>
      <c r="B1990" s="66"/>
      <c r="C1990" s="66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5">
      <c r="A1991" s="66"/>
      <c r="B1991" s="66"/>
      <c r="C1991" s="66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5">
      <c r="A1992" s="66"/>
      <c r="B1992" s="66"/>
      <c r="C1992" s="66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5">
      <c r="A1993" s="66"/>
      <c r="B1993" s="66"/>
      <c r="C1993" s="66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5">
      <c r="A1994" s="66"/>
      <c r="B1994" s="66"/>
      <c r="C1994" s="66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5">
      <c r="A1995" s="66"/>
      <c r="B1995" s="66"/>
      <c r="C1995" s="66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5">
      <c r="A1996" s="66"/>
      <c r="B1996" s="66"/>
      <c r="C1996" s="66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5">
      <c r="A1997" s="66"/>
      <c r="B1997" s="66"/>
      <c r="C1997" s="66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5">
      <c r="A1998" s="66"/>
      <c r="B1998" s="66"/>
      <c r="C1998" s="66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5">
      <c r="A1999" s="66"/>
      <c r="B1999" s="66"/>
      <c r="C1999" s="66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5">
      <c r="A2000" s="66"/>
      <c r="B2000" s="66"/>
      <c r="C2000" s="66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5">
      <c r="A2001" s="66"/>
      <c r="B2001" s="66"/>
      <c r="C2001" s="66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5">
      <c r="A2002" s="66"/>
      <c r="B2002" s="66"/>
      <c r="C2002" s="66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5">
      <c r="A2003" s="66"/>
      <c r="B2003" s="66"/>
      <c r="C2003" s="66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5">
      <c r="A2004" s="66"/>
      <c r="B2004" s="66"/>
      <c r="C2004" s="66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5">
      <c r="A2005" s="66"/>
      <c r="B2005" s="66"/>
      <c r="C2005" s="66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5">
      <c r="A2006" s="66"/>
      <c r="B2006" s="66"/>
      <c r="C2006" s="66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5">
      <c r="A2007" s="66"/>
      <c r="B2007" s="66"/>
      <c r="C2007" s="66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5">
      <c r="A2008" s="66"/>
      <c r="B2008" s="66"/>
      <c r="C2008" s="66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8:20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8:20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8:20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8:20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8:20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8:20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8:20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8:20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8:20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8:20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8:20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8:20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8:20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8:20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8:20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8:20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0"/>
    </row>
    <row r="2065" spans="8:20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0"/>
    </row>
    <row r="2066" spans="8:20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0"/>
    </row>
  </sheetData>
  <sheetProtection selectLockedCells="1"/>
  <mergeCells count="2002"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4:A16"/>
    <mergeCell ref="B14:B16"/>
    <mergeCell ref="C14:C16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82:A1984"/>
    <mergeCell ref="A1985:A1987"/>
    <mergeCell ref="A1988:A1990"/>
    <mergeCell ref="A1991:A1993"/>
    <mergeCell ref="A1994:A1996"/>
    <mergeCell ref="A1997:A1999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D56:E58 D104:E106 G200:G202 D8:E10 G152:G154 D203:G247 G9:G10 G104:G106 D153:E154 G248:G250 F106 D155:G199 F250 G56:G58 D200:E202 F8:G8 F57 D152:F152 F201 D248:E250 D11:G55 D251:G343 D59:G103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27 Q67 H62:R63 I64:J64 H54:R55 Q37 I37 Q73 H99" numberStoredAsText="1"/>
  </ignoredErrors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1"/>
  <sheetViews>
    <sheetView zoomScale="90" zoomScaleNormal="90" workbookViewId="0">
      <pane ySplit="7" topLeftCell="A8" activePane="bottomLeft" state="frozen"/>
      <selection pane="bottomLeft" activeCell="K15" sqref="K15"/>
    </sheetView>
  </sheetViews>
  <sheetFormatPr defaultRowHeight="15"/>
  <cols>
    <col min="1" max="1" width="5.7109375" style="25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6" customWidth="1"/>
  </cols>
  <sheetData>
    <row r="1" spans="1:20" ht="14.45" customHeight="1">
      <c r="D1" s="68" t="s">
        <v>181</v>
      </c>
      <c r="E1" s="68"/>
      <c r="F1" s="68"/>
      <c r="G1" s="68"/>
      <c r="H1" s="68"/>
      <c r="I1" s="68"/>
      <c r="J1" s="68"/>
      <c r="K1" s="68"/>
      <c r="L1" s="68"/>
      <c r="M1" s="21"/>
      <c r="N1" s="21"/>
      <c r="P1" s="56"/>
      <c r="R1"/>
    </row>
    <row r="2" spans="1:20">
      <c r="D2" s="68"/>
      <c r="E2" s="68"/>
      <c r="F2" s="68"/>
      <c r="G2" s="68"/>
      <c r="H2" s="68"/>
      <c r="I2" s="68"/>
      <c r="J2" s="68"/>
      <c r="K2" s="68"/>
      <c r="L2" s="68"/>
      <c r="M2" s="32" t="s">
        <v>111</v>
      </c>
      <c r="N2" s="33"/>
    </row>
    <row r="3" spans="1:20">
      <c r="D3" s="68"/>
      <c r="E3" s="68"/>
      <c r="F3" s="68"/>
      <c r="G3" s="68"/>
      <c r="H3" s="68"/>
      <c r="I3" s="68"/>
      <c r="J3" s="68"/>
      <c r="K3" s="68"/>
      <c r="L3" s="68"/>
      <c r="M3" s="37" t="s">
        <v>114</v>
      </c>
      <c r="N3" s="34" t="s">
        <v>115</v>
      </c>
      <c r="R3"/>
    </row>
    <row r="4" spans="1:20">
      <c r="D4" s="68"/>
      <c r="E4" s="68"/>
      <c r="F4" s="68"/>
      <c r="G4" s="68"/>
      <c r="H4" s="68"/>
      <c r="I4" s="68"/>
      <c r="J4" s="68"/>
      <c r="K4" s="68"/>
      <c r="L4" s="68"/>
      <c r="M4" s="36" t="s">
        <v>112</v>
      </c>
      <c r="N4" s="35" t="s">
        <v>113</v>
      </c>
      <c r="R4"/>
    </row>
    <row r="5" spans="1:20">
      <c r="D5" s="68"/>
      <c r="E5" s="68"/>
      <c r="F5" s="68"/>
      <c r="G5" s="68"/>
      <c r="H5" s="68"/>
      <c r="I5" s="68"/>
      <c r="J5" s="68"/>
      <c r="K5" s="68"/>
      <c r="L5" s="68"/>
      <c r="M5" s="21"/>
      <c r="N5" s="21"/>
      <c r="R5"/>
    </row>
    <row r="6" spans="1:20">
      <c r="R6"/>
    </row>
    <row r="7" spans="1:20" s="20" customFormat="1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>
      <c r="A8" s="57"/>
      <c r="B8" s="24" t="s">
        <v>6</v>
      </c>
      <c r="C8" s="67" t="s">
        <v>6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/>
    </row>
    <row r="9" spans="1:20" s="17" customFormat="1" ht="15.6" customHeight="1">
      <c r="A9" s="39">
        <v>1</v>
      </c>
      <c r="B9" s="58" t="s">
        <v>119</v>
      </c>
      <c r="C9" s="58" t="s">
        <v>120</v>
      </c>
      <c r="D9">
        <v>150.51599999999999</v>
      </c>
      <c r="E9" s="61">
        <v>200</v>
      </c>
      <c r="F9">
        <v>135.63999999999999</v>
      </c>
      <c r="G9">
        <v>128.899</v>
      </c>
      <c r="H9">
        <v>127.47499999999999</v>
      </c>
      <c r="I9">
        <v>122.98399999999999</v>
      </c>
      <c r="J9"/>
      <c r="K9"/>
      <c r="L9"/>
      <c r="M9"/>
      <c r="N9"/>
      <c r="O9"/>
      <c r="P9">
        <v>122.98399999999999</v>
      </c>
      <c r="Q9">
        <v>665.51400000000001</v>
      </c>
      <c r="R9">
        <v>1000</v>
      </c>
      <c r="S9"/>
      <c r="T9"/>
    </row>
    <row r="10" spans="1:20" s="17" customFormat="1" ht="15.6" customHeight="1">
      <c r="A10" s="39">
        <v>2</v>
      </c>
      <c r="B10" s="58" t="s">
        <v>116</v>
      </c>
      <c r="C10" s="58" t="s">
        <v>117</v>
      </c>
      <c r="D10" s="61">
        <v>200</v>
      </c>
      <c r="E10">
        <v>200</v>
      </c>
      <c r="F10">
        <v>130.285</v>
      </c>
      <c r="G10">
        <v>200</v>
      </c>
      <c r="H10">
        <v>125.404</v>
      </c>
      <c r="I10">
        <v>115.952</v>
      </c>
      <c r="J10"/>
      <c r="K10"/>
      <c r="L10"/>
      <c r="M10"/>
      <c r="N10"/>
      <c r="O10"/>
      <c r="P10" s="62">
        <v>115.952</v>
      </c>
      <c r="Q10">
        <v>771.64099999999996</v>
      </c>
      <c r="R10">
        <v>862</v>
      </c>
      <c r="S10"/>
      <c r="T10"/>
    </row>
    <row r="11" spans="1:20" s="17" customFormat="1" ht="15.6" customHeight="1">
      <c r="A11" s="23"/>
      <c r="B11" s="24" t="s">
        <v>7</v>
      </c>
      <c r="C11" s="67" t="s">
        <v>7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/>
    </row>
    <row r="12" spans="1:20" s="17" customFormat="1" ht="15.6" customHeight="1">
      <c r="A12" s="39">
        <v>1</v>
      </c>
      <c r="B12" s="58" t="s">
        <v>55</v>
      </c>
      <c r="C12" s="58" t="s">
        <v>131</v>
      </c>
      <c r="D12">
        <v>58.411000000000001</v>
      </c>
      <c r="E12" s="60">
        <v>64.724000000000004</v>
      </c>
      <c r="F12">
        <v>58.372999999999998</v>
      </c>
      <c r="G12" s="63">
        <v>65.792100000000005</v>
      </c>
      <c r="H12">
        <v>59.237000000000002</v>
      </c>
      <c r="I12">
        <v>57.247999999999998</v>
      </c>
      <c r="J12"/>
      <c r="K12"/>
      <c r="L12"/>
      <c r="M12"/>
      <c r="N12"/>
      <c r="O12"/>
      <c r="P12">
        <v>57.247999999999998</v>
      </c>
      <c r="Q12">
        <v>297.99299999999999</v>
      </c>
      <c r="R12">
        <v>1000</v>
      </c>
      <c r="S12"/>
      <c r="T12"/>
    </row>
    <row r="13" spans="1:20" s="17" customFormat="1" ht="15.6" customHeight="1">
      <c r="A13" s="39">
        <v>2</v>
      </c>
      <c r="B13" s="58" t="s">
        <v>53</v>
      </c>
      <c r="C13" s="58" t="s">
        <v>54</v>
      </c>
      <c r="D13" s="63">
        <v>69.980900000000005</v>
      </c>
      <c r="E13">
        <v>62.667000000000002</v>
      </c>
      <c r="F13">
        <v>57.817999999999998</v>
      </c>
      <c r="G13">
        <v>62.363</v>
      </c>
      <c r="H13">
        <v>59.651000000000003</v>
      </c>
      <c r="I13">
        <v>56.475000000000001</v>
      </c>
      <c r="J13"/>
      <c r="K13"/>
      <c r="L13"/>
      <c r="M13"/>
      <c r="N13"/>
      <c r="O13"/>
      <c r="P13" s="62">
        <v>56.475000000000001</v>
      </c>
      <c r="Q13">
        <v>298.97400000000005</v>
      </c>
      <c r="R13">
        <v>997</v>
      </c>
      <c r="S13"/>
      <c r="T13"/>
    </row>
    <row r="14" spans="1:20" s="17" customFormat="1" ht="15.6" customHeight="1">
      <c r="A14" s="39">
        <v>3</v>
      </c>
      <c r="B14" s="58" t="s">
        <v>49</v>
      </c>
      <c r="C14" s="58" t="s">
        <v>148</v>
      </c>
      <c r="D14">
        <v>61.61</v>
      </c>
      <c r="E14">
        <v>62.218000000000004</v>
      </c>
      <c r="F14">
        <v>60.673999999999999</v>
      </c>
      <c r="G14">
        <v>62.762999999999998</v>
      </c>
      <c r="H14" s="61">
        <v>200</v>
      </c>
      <c r="I14">
        <v>62.542000000000002</v>
      </c>
      <c r="J14"/>
      <c r="K14"/>
      <c r="L14"/>
      <c r="M14"/>
      <c r="N14"/>
      <c r="O14"/>
      <c r="P14">
        <v>60.673999999999999</v>
      </c>
      <c r="Q14">
        <v>309.80700000000002</v>
      </c>
      <c r="R14">
        <v>962</v>
      </c>
      <c r="S14"/>
      <c r="T14"/>
    </row>
    <row r="15" spans="1:20" s="17" customFormat="1" ht="15.6" customHeight="1">
      <c r="A15" s="39">
        <v>4</v>
      </c>
      <c r="B15" s="58" t="s">
        <v>61</v>
      </c>
      <c r="C15" s="58" t="s">
        <v>158</v>
      </c>
      <c r="D15">
        <v>59.387</v>
      </c>
      <c r="E15" s="60">
        <v>70.154700000000005</v>
      </c>
      <c r="F15">
        <v>61.3</v>
      </c>
      <c r="G15" s="56">
        <v>200</v>
      </c>
      <c r="H15">
        <v>59.033000000000001</v>
      </c>
      <c r="I15">
        <v>60.499000000000002</v>
      </c>
      <c r="J15"/>
      <c r="K15"/>
      <c r="L15"/>
      <c r="M15"/>
      <c r="N15"/>
      <c r="O15"/>
      <c r="P15">
        <v>59.033000000000001</v>
      </c>
      <c r="Q15">
        <v>310.37370000000004</v>
      </c>
      <c r="R15">
        <v>960</v>
      </c>
      <c r="S15"/>
      <c r="T15"/>
    </row>
    <row r="16" spans="1:20" s="17" customFormat="1" ht="15.6" customHeight="1">
      <c r="A16" s="39">
        <v>5</v>
      </c>
      <c r="B16" s="58" t="s">
        <v>140</v>
      </c>
      <c r="C16" s="58" t="s">
        <v>141</v>
      </c>
      <c r="D16">
        <v>63.66</v>
      </c>
      <c r="E16">
        <v>62.970999999999997</v>
      </c>
      <c r="F16">
        <v>60.768000000000001</v>
      </c>
      <c r="G16">
        <v>62.701000000000001</v>
      </c>
      <c r="H16">
        <v>61.280999999999999</v>
      </c>
      <c r="I16" s="63">
        <v>68.176900000000003</v>
      </c>
      <c r="J16"/>
      <c r="K16"/>
      <c r="L16"/>
      <c r="M16"/>
      <c r="N16"/>
      <c r="O16"/>
      <c r="P16">
        <v>60.768000000000001</v>
      </c>
      <c r="Q16">
        <v>311.38099999999997</v>
      </c>
      <c r="R16">
        <v>957</v>
      </c>
      <c r="S16"/>
      <c r="T16"/>
    </row>
    <row r="17" spans="1:20" s="17" customFormat="1" ht="15.6" customHeight="1">
      <c r="A17" s="39">
        <v>6</v>
      </c>
      <c r="B17" s="58" t="s">
        <v>51</v>
      </c>
      <c r="C17" s="58" t="s">
        <v>183</v>
      </c>
      <c r="D17" s="63">
        <v>75.164100000000005</v>
      </c>
      <c r="E17">
        <v>61.975999999999999</v>
      </c>
      <c r="F17">
        <v>63.746000000000002</v>
      </c>
      <c r="G17">
        <v>64.23</v>
      </c>
      <c r="H17">
        <v>61.247</v>
      </c>
      <c r="I17">
        <v>63.414999999999999</v>
      </c>
      <c r="J17"/>
      <c r="K17"/>
      <c r="L17"/>
      <c r="M17"/>
      <c r="N17"/>
      <c r="O17"/>
      <c r="P17">
        <v>61.247</v>
      </c>
      <c r="Q17">
        <v>314.61400000000003</v>
      </c>
      <c r="R17">
        <v>947</v>
      </c>
      <c r="S17"/>
      <c r="T17"/>
    </row>
    <row r="18" spans="1:20" s="17" customFormat="1" ht="15.6" customHeight="1">
      <c r="A18" s="39">
        <v>7</v>
      </c>
      <c r="B18" s="58" t="s">
        <v>136</v>
      </c>
      <c r="C18" s="58" t="s">
        <v>137</v>
      </c>
      <c r="D18" s="60">
        <v>69.671800000000005</v>
      </c>
      <c r="E18" s="63">
        <v>70.021600000000007</v>
      </c>
      <c r="F18" s="60">
        <v>67.545500000000004</v>
      </c>
      <c r="G18">
        <v>62.49</v>
      </c>
      <c r="H18">
        <v>60.521999999999998</v>
      </c>
      <c r="I18">
        <v>57.890999999999998</v>
      </c>
      <c r="J18"/>
      <c r="K18"/>
      <c r="L18"/>
      <c r="M18"/>
      <c r="N18"/>
      <c r="O18"/>
      <c r="P18">
        <v>57.890999999999998</v>
      </c>
      <c r="Q18">
        <v>318.12030000000004</v>
      </c>
      <c r="R18">
        <v>937</v>
      </c>
      <c r="S18"/>
      <c r="T18"/>
    </row>
    <row r="19" spans="1:20" s="17" customFormat="1" ht="15.6" customHeight="1">
      <c r="A19" s="39">
        <v>8</v>
      </c>
      <c r="B19" s="58" t="s">
        <v>134</v>
      </c>
      <c r="C19" s="58" t="s">
        <v>135</v>
      </c>
      <c r="D19" s="56">
        <v>76.974000000000004</v>
      </c>
      <c r="E19">
        <v>68.941000000000003</v>
      </c>
      <c r="F19">
        <v>65.522999999999996</v>
      </c>
      <c r="G19">
        <v>64.402000000000001</v>
      </c>
      <c r="H19">
        <v>62.777999999999999</v>
      </c>
      <c r="I19">
        <v>60.899000000000001</v>
      </c>
      <c r="J19"/>
      <c r="K19"/>
      <c r="L19"/>
      <c r="M19"/>
      <c r="N19"/>
      <c r="O19"/>
      <c r="P19">
        <v>60.899000000000001</v>
      </c>
      <c r="Q19">
        <v>322.54300000000001</v>
      </c>
      <c r="R19">
        <v>924</v>
      </c>
      <c r="S19"/>
      <c r="T19"/>
    </row>
    <row r="20" spans="1:20" s="17" customFormat="1" ht="15.6" customHeight="1">
      <c r="A20" s="39">
        <v>9</v>
      </c>
      <c r="B20" s="58" t="s">
        <v>121</v>
      </c>
      <c r="C20" s="58" t="s">
        <v>120</v>
      </c>
      <c r="D20">
        <v>65.412000000000006</v>
      </c>
      <c r="E20" s="61">
        <v>200</v>
      </c>
      <c r="F20">
        <v>67.474999999999994</v>
      </c>
      <c r="G20">
        <v>67.941000000000003</v>
      </c>
      <c r="H20">
        <v>60.95</v>
      </c>
      <c r="I20">
        <v>61.478999999999999</v>
      </c>
      <c r="J20"/>
      <c r="K20"/>
      <c r="L20"/>
      <c r="M20"/>
      <c r="N20"/>
      <c r="O20"/>
      <c r="P20">
        <v>60.95</v>
      </c>
      <c r="Q20">
        <v>323.25700000000001</v>
      </c>
      <c r="R20">
        <v>922</v>
      </c>
      <c r="S20"/>
      <c r="T20"/>
    </row>
    <row r="21" spans="1:20" s="17" customFormat="1" ht="15.6" customHeight="1">
      <c r="A21" s="39">
        <v>10</v>
      </c>
      <c r="B21" s="58" t="s">
        <v>60</v>
      </c>
      <c r="C21" s="58" t="s">
        <v>146</v>
      </c>
      <c r="D21">
        <v>64.611999999999995</v>
      </c>
      <c r="E21">
        <v>63.034999999999997</v>
      </c>
      <c r="F21">
        <v>59.662999999999997</v>
      </c>
      <c r="G21" s="63">
        <v>72.254600000000011</v>
      </c>
      <c r="H21">
        <v>64.772000000000006</v>
      </c>
      <c r="I21" s="60">
        <v>72.015900000000002</v>
      </c>
      <c r="J21"/>
      <c r="K21"/>
      <c r="L21"/>
      <c r="M21"/>
      <c r="N21"/>
      <c r="O21"/>
      <c r="P21">
        <v>59.662999999999997</v>
      </c>
      <c r="Q21">
        <v>324.09789999999998</v>
      </c>
      <c r="R21">
        <v>919</v>
      </c>
      <c r="S21"/>
      <c r="T21"/>
    </row>
    <row r="22" spans="1:20" s="17" customFormat="1" ht="15.6" customHeight="1">
      <c r="A22" s="39">
        <v>11</v>
      </c>
      <c r="B22" s="58" t="s">
        <v>142</v>
      </c>
      <c r="C22" s="58" t="s">
        <v>63</v>
      </c>
      <c r="D22">
        <v>64.331999999999994</v>
      </c>
      <c r="E22">
        <v>66.745000000000005</v>
      </c>
      <c r="F22" s="63">
        <v>73.706600000000009</v>
      </c>
      <c r="G22">
        <v>64.543999999999997</v>
      </c>
      <c r="H22">
        <v>63.524000000000001</v>
      </c>
      <c r="I22" s="60">
        <v>67.311199999999999</v>
      </c>
      <c r="J22"/>
      <c r="K22"/>
      <c r="L22"/>
      <c r="M22"/>
      <c r="N22"/>
      <c r="O22"/>
      <c r="P22">
        <v>63.524000000000001</v>
      </c>
      <c r="Q22">
        <v>326.45619999999997</v>
      </c>
      <c r="R22">
        <v>913</v>
      </c>
      <c r="S22"/>
      <c r="T22"/>
    </row>
    <row r="23" spans="1:20" s="17" customFormat="1" ht="15.6" customHeight="1">
      <c r="A23" s="39">
        <v>12</v>
      </c>
      <c r="B23" s="58" t="s">
        <v>140</v>
      </c>
      <c r="C23" s="58" t="s">
        <v>151</v>
      </c>
      <c r="D23" s="60">
        <v>68.5839</v>
      </c>
      <c r="E23" s="61">
        <v>200</v>
      </c>
      <c r="F23" s="60">
        <v>69.934700000000007</v>
      </c>
      <c r="G23">
        <v>60.406999999999996</v>
      </c>
      <c r="H23" s="60">
        <v>67.872200000000007</v>
      </c>
      <c r="I23">
        <v>59.981999999999999</v>
      </c>
      <c r="J23"/>
      <c r="K23"/>
      <c r="L23"/>
      <c r="M23"/>
      <c r="N23"/>
      <c r="O23"/>
      <c r="P23">
        <v>59.981999999999999</v>
      </c>
      <c r="Q23">
        <v>326.77980000000002</v>
      </c>
      <c r="R23">
        <v>912</v>
      </c>
      <c r="S23"/>
      <c r="T23"/>
    </row>
    <row r="24" spans="1:20" s="17" customFormat="1" ht="15.6" customHeight="1">
      <c r="A24" s="39">
        <v>13</v>
      </c>
      <c r="B24" s="58" t="s">
        <v>43</v>
      </c>
      <c r="C24" s="58" t="s">
        <v>46</v>
      </c>
      <c r="D24" s="63">
        <v>70.414300000000011</v>
      </c>
      <c r="E24">
        <v>64.573999999999998</v>
      </c>
      <c r="F24">
        <v>65.269000000000005</v>
      </c>
      <c r="G24">
        <v>67.605999999999995</v>
      </c>
      <c r="H24" s="60">
        <v>67.599400000000003</v>
      </c>
      <c r="I24">
        <v>62.18</v>
      </c>
      <c r="J24"/>
      <c r="K24"/>
      <c r="L24"/>
      <c r="M24"/>
      <c r="N24"/>
      <c r="O24"/>
      <c r="P24">
        <v>62.18</v>
      </c>
      <c r="Q24">
        <v>327.22840000000002</v>
      </c>
      <c r="R24">
        <v>911</v>
      </c>
      <c r="S24"/>
      <c r="T24"/>
    </row>
    <row r="25" spans="1:20" s="17" customFormat="1" ht="15.6" customHeight="1">
      <c r="A25" s="39">
        <v>14</v>
      </c>
      <c r="B25" s="58" t="s">
        <v>153</v>
      </c>
      <c r="C25" s="58" t="s">
        <v>154</v>
      </c>
      <c r="D25">
        <v>68.106999999999999</v>
      </c>
      <c r="E25" s="60">
        <v>68.592700000000008</v>
      </c>
      <c r="F25">
        <v>70.322000000000003</v>
      </c>
      <c r="G25">
        <v>61.594000000000001</v>
      </c>
      <c r="H25">
        <v>63.497999999999998</v>
      </c>
      <c r="I25" s="56">
        <v>200</v>
      </c>
      <c r="J25"/>
      <c r="K25"/>
      <c r="L25"/>
      <c r="M25"/>
      <c r="N25"/>
      <c r="O25"/>
      <c r="P25">
        <v>61.594000000000001</v>
      </c>
      <c r="Q25">
        <v>332.11369999999999</v>
      </c>
      <c r="R25">
        <v>897</v>
      </c>
      <c r="S25"/>
      <c r="T25"/>
    </row>
    <row r="26" spans="1:20" s="17" customFormat="1" ht="15.6" customHeight="1">
      <c r="A26" s="39">
        <v>15</v>
      </c>
      <c r="B26" s="58" t="s">
        <v>62</v>
      </c>
      <c r="C26" s="58" t="s">
        <v>63</v>
      </c>
      <c r="D26" s="63">
        <v>200</v>
      </c>
      <c r="E26" s="60">
        <v>75.286199999999994</v>
      </c>
      <c r="F26">
        <v>64.960999999999999</v>
      </c>
      <c r="G26">
        <v>68.795000000000002</v>
      </c>
      <c r="H26">
        <v>62.295000000000002</v>
      </c>
      <c r="I26">
        <v>62.33</v>
      </c>
      <c r="J26"/>
      <c r="K26"/>
      <c r="L26"/>
      <c r="M26"/>
      <c r="N26"/>
      <c r="O26"/>
      <c r="P26">
        <v>62.295000000000002</v>
      </c>
      <c r="Q26">
        <v>333.66719999999998</v>
      </c>
      <c r="R26">
        <v>893</v>
      </c>
      <c r="S26"/>
      <c r="T26"/>
    </row>
    <row r="27" spans="1:20" s="17" customFormat="1" ht="15.6" customHeight="1">
      <c r="A27" s="39">
        <v>16</v>
      </c>
      <c r="B27" s="58" t="s">
        <v>64</v>
      </c>
      <c r="C27" s="58" t="s">
        <v>65</v>
      </c>
      <c r="D27" s="60">
        <v>80.643200000000007</v>
      </c>
      <c r="E27" s="61">
        <v>200</v>
      </c>
      <c r="F27">
        <v>68.155000000000001</v>
      </c>
      <c r="G27">
        <v>67.304000000000002</v>
      </c>
      <c r="H27">
        <v>60.628999999999998</v>
      </c>
      <c r="I27">
        <v>60.965000000000003</v>
      </c>
      <c r="J27"/>
      <c r="K27"/>
      <c r="L27"/>
      <c r="M27"/>
      <c r="N27"/>
      <c r="O27"/>
      <c r="P27">
        <v>60.628999999999998</v>
      </c>
      <c r="Q27">
        <v>337.69619999999998</v>
      </c>
      <c r="R27">
        <v>882</v>
      </c>
      <c r="S27"/>
      <c r="T27"/>
    </row>
    <row r="28" spans="1:20" s="17" customFormat="1" ht="15.6" customHeight="1">
      <c r="A28" s="39">
        <v>17</v>
      </c>
      <c r="B28" s="58" t="s">
        <v>157</v>
      </c>
      <c r="C28" s="58" t="s">
        <v>184</v>
      </c>
      <c r="D28" s="60">
        <v>72.14</v>
      </c>
      <c r="E28" s="60">
        <v>68.841300000000004</v>
      </c>
      <c r="F28" s="63">
        <v>72.37560000000002</v>
      </c>
      <c r="G28">
        <v>68.165000000000006</v>
      </c>
      <c r="H28">
        <v>66.081000000000003</v>
      </c>
      <c r="I28">
        <v>63.182000000000002</v>
      </c>
      <c r="J28"/>
      <c r="K28"/>
      <c r="L28"/>
      <c r="M28"/>
      <c r="N28"/>
      <c r="O28"/>
      <c r="P28">
        <v>63.182000000000002</v>
      </c>
      <c r="Q28">
        <v>338.40930000000003</v>
      </c>
      <c r="R28">
        <v>881</v>
      </c>
      <c r="S28"/>
      <c r="T28"/>
    </row>
    <row r="29" spans="1:20" s="17" customFormat="1" ht="15.6" customHeight="1">
      <c r="A29" s="39">
        <v>18</v>
      </c>
      <c r="B29" s="58" t="s">
        <v>149</v>
      </c>
      <c r="C29" s="58" t="s">
        <v>150</v>
      </c>
      <c r="D29">
        <v>68.855000000000004</v>
      </c>
      <c r="E29">
        <v>63.241</v>
      </c>
      <c r="F29" s="63">
        <v>76.715100000000007</v>
      </c>
      <c r="G29" s="60">
        <v>76.308099999999996</v>
      </c>
      <c r="H29" s="60">
        <v>69.25160000000001</v>
      </c>
      <c r="I29">
        <v>63.701999999999998</v>
      </c>
      <c r="J29"/>
      <c r="K29"/>
      <c r="L29"/>
      <c r="M29"/>
      <c r="N29"/>
      <c r="O29"/>
      <c r="P29">
        <v>63.241</v>
      </c>
      <c r="Q29">
        <v>341.35770000000002</v>
      </c>
      <c r="R29">
        <v>873</v>
      </c>
      <c r="S29"/>
      <c r="T29"/>
    </row>
    <row r="30" spans="1:20" s="17" customFormat="1" ht="15.6" customHeight="1">
      <c r="A30" s="39">
        <v>19</v>
      </c>
      <c r="B30" s="58" t="s">
        <v>134</v>
      </c>
      <c r="C30" s="58" t="s">
        <v>138</v>
      </c>
      <c r="D30" s="56">
        <v>72.433000000000007</v>
      </c>
      <c r="E30">
        <v>72.128</v>
      </c>
      <c r="F30">
        <v>71.855000000000004</v>
      </c>
      <c r="G30">
        <v>71.287999999999997</v>
      </c>
      <c r="H30">
        <v>67.23</v>
      </c>
      <c r="I30">
        <v>65.531000000000006</v>
      </c>
      <c r="J30"/>
      <c r="K30"/>
      <c r="L30"/>
      <c r="M30"/>
      <c r="N30"/>
      <c r="O30"/>
      <c r="P30">
        <v>65.531000000000006</v>
      </c>
      <c r="Q30">
        <v>348.03200000000004</v>
      </c>
      <c r="R30">
        <v>856</v>
      </c>
      <c r="S30"/>
      <c r="T30"/>
    </row>
    <row r="31" spans="1:20" s="17" customFormat="1" ht="15.6" customHeight="1">
      <c r="A31" s="39">
        <v>20</v>
      </c>
      <c r="B31" s="58" t="s">
        <v>56</v>
      </c>
      <c r="C31" s="58" t="s">
        <v>57</v>
      </c>
      <c r="D31">
        <v>67.113</v>
      </c>
      <c r="E31" s="60">
        <v>73.836399999999998</v>
      </c>
      <c r="F31" s="60">
        <v>72.613200000000006</v>
      </c>
      <c r="G31" s="63">
        <v>75.463300000000004</v>
      </c>
      <c r="H31">
        <v>66.231999999999999</v>
      </c>
      <c r="I31" s="60">
        <v>71.365800000000007</v>
      </c>
      <c r="J31"/>
      <c r="K31"/>
      <c r="L31"/>
      <c r="M31"/>
      <c r="N31"/>
      <c r="O31"/>
      <c r="P31">
        <v>66.231999999999999</v>
      </c>
      <c r="Q31">
        <v>351.16039999999998</v>
      </c>
      <c r="R31">
        <v>849</v>
      </c>
      <c r="S31"/>
      <c r="T31"/>
    </row>
    <row r="32" spans="1:20" s="17" customFormat="1" ht="15.6" customHeight="1">
      <c r="A32" s="39">
        <v>21</v>
      </c>
      <c r="B32" s="58" t="s">
        <v>47</v>
      </c>
      <c r="C32" s="58" t="s">
        <v>48</v>
      </c>
      <c r="D32" s="63">
        <v>81.382400000000004</v>
      </c>
      <c r="E32">
        <v>68.313000000000002</v>
      </c>
      <c r="F32">
        <v>74.432000000000002</v>
      </c>
      <c r="G32">
        <v>70.463999999999999</v>
      </c>
      <c r="H32">
        <v>69.001000000000005</v>
      </c>
      <c r="I32" s="60">
        <v>77.006600000000006</v>
      </c>
      <c r="J32"/>
      <c r="K32"/>
      <c r="L32"/>
      <c r="M32"/>
      <c r="N32"/>
      <c r="O32"/>
      <c r="P32">
        <v>68.313000000000002</v>
      </c>
      <c r="Q32">
        <v>359.21660000000003</v>
      </c>
      <c r="R32">
        <v>830</v>
      </c>
      <c r="S32"/>
      <c r="T32"/>
    </row>
    <row r="33" spans="1:20" s="17" customFormat="1" ht="15.6" customHeight="1">
      <c r="A33" s="39">
        <v>22</v>
      </c>
      <c r="B33" s="58" t="s">
        <v>177</v>
      </c>
      <c r="C33" s="58" t="s">
        <v>178</v>
      </c>
      <c r="D33">
        <v>76.53</v>
      </c>
      <c r="E33" s="61">
        <v>200</v>
      </c>
      <c r="F33">
        <v>74.396000000000001</v>
      </c>
      <c r="G33">
        <v>76.856999999999999</v>
      </c>
      <c r="H33">
        <v>71.623999999999995</v>
      </c>
      <c r="I33">
        <v>69.783000000000001</v>
      </c>
      <c r="J33"/>
      <c r="K33"/>
      <c r="L33"/>
      <c r="M33"/>
      <c r="N33"/>
      <c r="O33"/>
      <c r="P33">
        <v>69.783000000000001</v>
      </c>
      <c r="Q33">
        <v>369.19</v>
      </c>
      <c r="R33">
        <v>807</v>
      </c>
      <c r="S33"/>
      <c r="T33"/>
    </row>
    <row r="34" spans="1:20" s="17" customFormat="1" ht="15.6" customHeight="1">
      <c r="A34" s="39">
        <v>23</v>
      </c>
      <c r="B34" s="58" t="s">
        <v>126</v>
      </c>
      <c r="C34" s="58" t="s">
        <v>127</v>
      </c>
      <c r="D34" s="56">
        <v>200</v>
      </c>
      <c r="E34">
        <v>62.488</v>
      </c>
      <c r="F34">
        <v>59.554000000000002</v>
      </c>
      <c r="G34">
        <v>63.581000000000003</v>
      </c>
      <c r="H34">
        <v>66.837999999999994</v>
      </c>
      <c r="I34">
        <v>200</v>
      </c>
      <c r="J34"/>
      <c r="K34"/>
      <c r="L34"/>
      <c r="M34"/>
      <c r="N34"/>
      <c r="O34"/>
      <c r="P34">
        <v>59.554000000000002</v>
      </c>
      <c r="Q34">
        <v>452.46100000000001</v>
      </c>
      <c r="R34">
        <v>659</v>
      </c>
      <c r="S34"/>
      <c r="T34"/>
    </row>
    <row r="35" spans="1:20" s="17" customFormat="1" ht="15.6" customHeight="1">
      <c r="A35" s="39">
        <v>24</v>
      </c>
      <c r="B35" s="58" t="s">
        <v>68</v>
      </c>
      <c r="C35" s="58" t="s">
        <v>63</v>
      </c>
      <c r="D35" s="61">
        <v>200</v>
      </c>
      <c r="E35">
        <v>63.139000000000003</v>
      </c>
      <c r="F35">
        <v>65.88</v>
      </c>
      <c r="G35" s="59">
        <v>200</v>
      </c>
      <c r="H35">
        <v>62.185000000000002</v>
      </c>
      <c r="I35">
        <v>64.992999999999995</v>
      </c>
      <c r="J35"/>
      <c r="K35"/>
      <c r="L35"/>
      <c r="M35"/>
      <c r="N35"/>
      <c r="O35"/>
      <c r="P35">
        <v>62.185000000000002</v>
      </c>
      <c r="Q35">
        <v>456.197</v>
      </c>
      <c r="R35">
        <v>653</v>
      </c>
      <c r="S35"/>
      <c r="T35"/>
    </row>
    <row r="36" spans="1:20" s="17" customFormat="1" ht="15.6" customHeight="1">
      <c r="A36" s="39">
        <v>25</v>
      </c>
      <c r="B36" s="58" t="s">
        <v>50</v>
      </c>
      <c r="C36" s="58" t="s">
        <v>139</v>
      </c>
      <c r="D36" s="60">
        <v>71.206300000000013</v>
      </c>
      <c r="E36" s="60">
        <v>69.842300000000009</v>
      </c>
      <c r="F36">
        <v>63.255000000000003</v>
      </c>
      <c r="G36" s="56">
        <v>200</v>
      </c>
      <c r="H36">
        <v>200</v>
      </c>
      <c r="I36" s="60">
        <v>71.071000000000012</v>
      </c>
      <c r="J36"/>
      <c r="K36"/>
      <c r="L36"/>
      <c r="M36"/>
      <c r="N36"/>
      <c r="O36"/>
      <c r="P36">
        <v>63.255000000000003</v>
      </c>
      <c r="Q36">
        <v>475.37460000000004</v>
      </c>
      <c r="R36">
        <v>627</v>
      </c>
      <c r="S36"/>
      <c r="T36"/>
    </row>
    <row r="37" spans="1:20" s="17" customFormat="1" ht="15.6" customHeight="1">
      <c r="A37" s="39">
        <v>26</v>
      </c>
      <c r="B37" s="58" t="s">
        <v>59</v>
      </c>
      <c r="C37" s="58" t="s">
        <v>120</v>
      </c>
      <c r="D37" s="61">
        <v>200</v>
      </c>
      <c r="E37">
        <v>66.837999999999994</v>
      </c>
      <c r="F37">
        <v>71.075000000000003</v>
      </c>
      <c r="G37" s="60">
        <v>75.416000000000011</v>
      </c>
      <c r="H37" s="59">
        <v>200</v>
      </c>
      <c r="I37" s="60">
        <v>67.081299999999999</v>
      </c>
      <c r="J37"/>
      <c r="K37"/>
      <c r="L37"/>
      <c r="M37"/>
      <c r="N37"/>
      <c r="O37"/>
      <c r="P37">
        <v>66.837999999999994</v>
      </c>
      <c r="Q37">
        <v>480.41030000000001</v>
      </c>
      <c r="R37">
        <v>620</v>
      </c>
      <c r="S37"/>
      <c r="T37"/>
    </row>
    <row r="38" spans="1:20" s="17" customFormat="1" ht="15.6" customHeight="1">
      <c r="A38" s="39">
        <v>27</v>
      </c>
      <c r="B38" s="58" t="s">
        <v>128</v>
      </c>
      <c r="C38" s="58" t="s">
        <v>129</v>
      </c>
      <c r="D38" s="60">
        <v>78.852400000000003</v>
      </c>
      <c r="E38">
        <v>71.918000000000006</v>
      </c>
      <c r="F38" s="56">
        <v>200</v>
      </c>
      <c r="G38" s="60">
        <v>81.453900000000019</v>
      </c>
      <c r="H38" s="59">
        <v>200</v>
      </c>
      <c r="I38">
        <v>67.295000000000002</v>
      </c>
      <c r="J38"/>
      <c r="K38"/>
      <c r="L38"/>
      <c r="M38"/>
      <c r="N38"/>
      <c r="O38"/>
      <c r="P38">
        <v>67.295000000000002</v>
      </c>
      <c r="Q38">
        <v>499.51930000000004</v>
      </c>
      <c r="R38">
        <v>597</v>
      </c>
      <c r="S38"/>
      <c r="T38"/>
    </row>
    <row r="39" spans="1:20" s="17" customFormat="1" ht="15.6" customHeight="1">
      <c r="A39" s="39">
        <v>28</v>
      </c>
      <c r="B39" s="58" t="s">
        <v>123</v>
      </c>
      <c r="C39" s="58" t="s">
        <v>124</v>
      </c>
      <c r="D39">
        <v>72.701999999999998</v>
      </c>
      <c r="E39">
        <v>67.832999999999998</v>
      </c>
      <c r="F39" s="60">
        <v>81.294399999999996</v>
      </c>
      <c r="G39" s="60">
        <v>84.221500000000006</v>
      </c>
      <c r="H39" s="56">
        <v>200</v>
      </c>
      <c r="I39">
        <v>200</v>
      </c>
      <c r="J39"/>
      <c r="K39"/>
      <c r="L39"/>
      <c r="M39"/>
      <c r="N39"/>
      <c r="O39"/>
      <c r="P39">
        <v>67.832999999999998</v>
      </c>
      <c r="Q39">
        <v>506.05090000000001</v>
      </c>
      <c r="R39">
        <v>589</v>
      </c>
      <c r="S39"/>
      <c r="T39"/>
    </row>
    <row r="40" spans="1:20" s="17" customFormat="1" ht="15.6" customHeight="1">
      <c r="A40" s="39">
        <v>29</v>
      </c>
      <c r="B40" s="58" t="s">
        <v>132</v>
      </c>
      <c r="C40" s="58" t="s">
        <v>133</v>
      </c>
      <c r="D40" s="61">
        <v>200</v>
      </c>
      <c r="E40" s="60">
        <v>72.447999999999993</v>
      </c>
      <c r="F40">
        <v>200</v>
      </c>
      <c r="G40" s="60">
        <v>75.232300000000009</v>
      </c>
      <c r="H40">
        <v>71.028000000000006</v>
      </c>
      <c r="I40" s="59">
        <v>200</v>
      </c>
      <c r="J40"/>
      <c r="K40"/>
      <c r="L40"/>
      <c r="M40"/>
      <c r="N40"/>
      <c r="O40"/>
      <c r="P40">
        <v>71.028000000000006</v>
      </c>
      <c r="Q40">
        <v>618.70830000000001</v>
      </c>
      <c r="R40">
        <v>482</v>
      </c>
      <c r="S40"/>
      <c r="T40"/>
    </row>
    <row r="41" spans="1:20" s="17" customFormat="1" ht="15.6" customHeight="1">
      <c r="A41" s="39">
        <v>30</v>
      </c>
      <c r="B41" s="58" t="s">
        <v>66</v>
      </c>
      <c r="C41" s="58" t="s">
        <v>67</v>
      </c>
      <c r="D41" s="56">
        <v>200</v>
      </c>
      <c r="E41" s="59">
        <v>200</v>
      </c>
      <c r="F41" s="60">
        <v>67.925000000000011</v>
      </c>
      <c r="G41" s="59">
        <v>200</v>
      </c>
      <c r="H41">
        <v>58.814999999999998</v>
      </c>
      <c r="I41">
        <v>200</v>
      </c>
      <c r="J41"/>
      <c r="K41"/>
      <c r="L41"/>
      <c r="M41"/>
      <c r="N41"/>
      <c r="O41"/>
      <c r="P41">
        <v>58.814999999999998</v>
      </c>
      <c r="Q41">
        <v>726.74</v>
      </c>
      <c r="R41">
        <v>410</v>
      </c>
      <c r="S41"/>
      <c r="T41"/>
    </row>
    <row r="42" spans="1:20" s="17" customFormat="1" ht="15.6" customHeight="1">
      <c r="A42" s="39">
        <v>31</v>
      </c>
      <c r="B42" s="58" t="s">
        <v>52</v>
      </c>
      <c r="C42" s="58" t="s">
        <v>125</v>
      </c>
      <c r="D42" s="56">
        <v>200</v>
      </c>
      <c r="E42">
        <v>200</v>
      </c>
      <c r="F42">
        <v>200</v>
      </c>
      <c r="G42">
        <v>62.636000000000003</v>
      </c>
      <c r="H42">
        <v>200</v>
      </c>
      <c r="I42">
        <v>200</v>
      </c>
      <c r="J42"/>
      <c r="K42"/>
      <c r="L42"/>
      <c r="M42"/>
      <c r="N42"/>
      <c r="O42"/>
      <c r="P42">
        <v>62.636000000000003</v>
      </c>
      <c r="Q42">
        <v>862.63599999999997</v>
      </c>
      <c r="R42">
        <v>345</v>
      </c>
      <c r="S42"/>
      <c r="T42"/>
    </row>
    <row r="43" spans="1:20" s="17" customFormat="1" ht="15.6" customHeight="1">
      <c r="A43" s="23"/>
      <c r="B43" s="24" t="s">
        <v>31</v>
      </c>
      <c r="C43" s="67" t="s">
        <v>31</v>
      </c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/>
    </row>
    <row r="44" spans="1:20" s="17" customFormat="1" ht="15.6" customHeight="1">
      <c r="A44" s="39">
        <v>1</v>
      </c>
      <c r="B44" s="58" t="s">
        <v>72</v>
      </c>
      <c r="C44" s="58" t="s">
        <v>152</v>
      </c>
      <c r="D44">
        <v>57.689</v>
      </c>
      <c r="E44">
        <v>55.389000000000003</v>
      </c>
      <c r="F44" s="56">
        <v>61.813000000000002</v>
      </c>
      <c r="G44">
        <v>60.011000000000003</v>
      </c>
      <c r="H44">
        <v>58.576999999999998</v>
      </c>
      <c r="I44">
        <v>57.82</v>
      </c>
      <c r="J44"/>
      <c r="K44"/>
      <c r="L44"/>
      <c r="M44"/>
      <c r="N44"/>
      <c r="O44"/>
      <c r="P44">
        <v>55.389000000000003</v>
      </c>
      <c r="Q44">
        <v>289.48599999999999</v>
      </c>
      <c r="R44">
        <v>1000</v>
      </c>
      <c r="S44"/>
      <c r="T44"/>
    </row>
    <row r="45" spans="1:20" s="17" customFormat="1" ht="15.6" customHeight="1">
      <c r="A45" s="39">
        <v>2</v>
      </c>
      <c r="B45" s="58" t="s">
        <v>69</v>
      </c>
      <c r="C45" s="58" t="s">
        <v>70</v>
      </c>
      <c r="D45" s="56">
        <v>200</v>
      </c>
      <c r="E45">
        <v>62.993000000000002</v>
      </c>
      <c r="F45">
        <v>59.054000000000002</v>
      </c>
      <c r="G45">
        <v>58.973999999999997</v>
      </c>
      <c r="H45">
        <v>58.058999999999997</v>
      </c>
      <c r="I45">
        <v>66.563999999999993</v>
      </c>
      <c r="J45"/>
      <c r="K45"/>
      <c r="L45"/>
      <c r="M45"/>
      <c r="N45"/>
      <c r="O45"/>
      <c r="P45">
        <v>58.058999999999997</v>
      </c>
      <c r="Q45">
        <v>305.64400000000001</v>
      </c>
      <c r="R45">
        <v>947</v>
      </c>
      <c r="S45"/>
      <c r="T45"/>
    </row>
    <row r="46" spans="1:20" s="17" customFormat="1" ht="15.6" customHeight="1">
      <c r="A46" s="39">
        <v>3</v>
      </c>
      <c r="B46" s="58" t="s">
        <v>61</v>
      </c>
      <c r="C46" s="58" t="s">
        <v>158</v>
      </c>
      <c r="D46">
        <v>57.18</v>
      </c>
      <c r="E46">
        <v>61.741</v>
      </c>
      <c r="F46" s="56">
        <v>70.081999999999994</v>
      </c>
      <c r="G46">
        <v>62.228000000000002</v>
      </c>
      <c r="H46" s="60">
        <v>65.749200000000002</v>
      </c>
      <c r="I46">
        <v>61.320999999999998</v>
      </c>
      <c r="J46"/>
      <c r="K46"/>
      <c r="L46"/>
      <c r="M46"/>
      <c r="N46"/>
      <c r="O46"/>
      <c r="P46">
        <v>57.18</v>
      </c>
      <c r="Q46">
        <v>308.2192</v>
      </c>
      <c r="R46">
        <v>939</v>
      </c>
      <c r="S46"/>
      <c r="T46"/>
    </row>
    <row r="47" spans="1:20" s="17" customFormat="1" ht="15.6" customHeight="1">
      <c r="A47" s="39">
        <v>4</v>
      </c>
      <c r="B47" s="58" t="s">
        <v>50</v>
      </c>
      <c r="C47" s="58" t="s">
        <v>139</v>
      </c>
      <c r="D47">
        <v>62.610999999999997</v>
      </c>
      <c r="E47">
        <v>61.96</v>
      </c>
      <c r="F47" s="60">
        <v>75.027699999999996</v>
      </c>
      <c r="G47">
        <v>62.863</v>
      </c>
      <c r="H47" s="56">
        <v>200</v>
      </c>
      <c r="I47">
        <v>63.697000000000003</v>
      </c>
      <c r="J47"/>
      <c r="K47"/>
      <c r="L47"/>
      <c r="M47"/>
      <c r="N47"/>
      <c r="O47"/>
      <c r="P47">
        <v>61.96</v>
      </c>
      <c r="Q47">
        <v>326.15870000000001</v>
      </c>
      <c r="R47">
        <v>888</v>
      </c>
      <c r="S47"/>
      <c r="T47"/>
    </row>
    <row r="48" spans="1:20" s="17" customFormat="1" ht="15.6" customHeight="1">
      <c r="A48" s="39">
        <v>5</v>
      </c>
      <c r="B48" s="58" t="s">
        <v>59</v>
      </c>
      <c r="C48" s="58" t="s">
        <v>120</v>
      </c>
      <c r="D48">
        <v>64.966999999999999</v>
      </c>
      <c r="E48" s="56">
        <v>200</v>
      </c>
      <c r="F48">
        <v>63.048000000000002</v>
      </c>
      <c r="G48">
        <v>62.98</v>
      </c>
      <c r="H48">
        <v>64.882000000000005</v>
      </c>
      <c r="I48" s="60">
        <v>70.395600000000002</v>
      </c>
      <c r="J48"/>
      <c r="K48"/>
      <c r="L48"/>
      <c r="M48"/>
      <c r="N48"/>
      <c r="O48"/>
      <c r="P48">
        <v>62.98</v>
      </c>
      <c r="Q48">
        <v>326.27260000000001</v>
      </c>
      <c r="R48">
        <v>887</v>
      </c>
      <c r="S48"/>
      <c r="T48"/>
    </row>
    <row r="49" spans="1:20" s="17" customFormat="1" ht="15.6" customHeight="1">
      <c r="A49" s="39">
        <v>6</v>
      </c>
      <c r="B49" s="58" t="s">
        <v>52</v>
      </c>
      <c r="C49" s="58" t="s">
        <v>125</v>
      </c>
      <c r="D49">
        <v>63.970999999999997</v>
      </c>
      <c r="E49">
        <v>59.49</v>
      </c>
      <c r="F49">
        <v>87.655000000000001</v>
      </c>
      <c r="G49" s="56">
        <v>200</v>
      </c>
      <c r="H49">
        <v>61.906999999999996</v>
      </c>
      <c r="I49">
        <v>61.012999999999998</v>
      </c>
      <c r="J49"/>
      <c r="K49"/>
      <c r="L49"/>
      <c r="M49"/>
      <c r="N49"/>
      <c r="O49"/>
      <c r="P49">
        <v>59.49</v>
      </c>
      <c r="Q49">
        <v>334.03599999999994</v>
      </c>
      <c r="R49">
        <v>867</v>
      </c>
      <c r="S49"/>
      <c r="T49"/>
    </row>
    <row r="50" spans="1:20" s="17" customFormat="1" ht="15.6" customHeight="1">
      <c r="A50" s="39">
        <v>7</v>
      </c>
      <c r="B50" s="58" t="s">
        <v>71</v>
      </c>
      <c r="C50" s="58" t="s">
        <v>162</v>
      </c>
      <c r="D50">
        <v>57.107999999999997</v>
      </c>
      <c r="E50" s="61">
        <v>200</v>
      </c>
      <c r="F50">
        <v>62.569000000000003</v>
      </c>
      <c r="G50" s="59">
        <v>200</v>
      </c>
      <c r="H50">
        <v>58.195</v>
      </c>
      <c r="I50">
        <v>54.764000000000003</v>
      </c>
      <c r="J50"/>
      <c r="K50"/>
      <c r="L50"/>
      <c r="M50"/>
      <c r="N50"/>
      <c r="O50"/>
      <c r="P50" s="62">
        <v>54.764000000000003</v>
      </c>
      <c r="Q50">
        <v>432.63600000000002</v>
      </c>
      <c r="R50">
        <v>669</v>
      </c>
      <c r="S50"/>
      <c r="T50"/>
    </row>
    <row r="51" spans="1:20" s="17" customFormat="1" ht="15.6" customHeight="1">
      <c r="A51" s="39">
        <v>8</v>
      </c>
      <c r="B51" s="58" t="s">
        <v>121</v>
      </c>
      <c r="C51" s="58" t="s">
        <v>120</v>
      </c>
      <c r="D51">
        <v>65.602000000000004</v>
      </c>
      <c r="E51">
        <v>66.096000000000004</v>
      </c>
      <c r="F51" s="56">
        <v>200</v>
      </c>
      <c r="G51">
        <v>200</v>
      </c>
      <c r="H51">
        <v>200</v>
      </c>
      <c r="I51">
        <v>200</v>
      </c>
      <c r="J51"/>
      <c r="K51"/>
      <c r="L51"/>
      <c r="M51"/>
      <c r="N51"/>
      <c r="O51"/>
      <c r="P51">
        <v>65.602000000000004</v>
      </c>
      <c r="Q51">
        <v>731.69799999999998</v>
      </c>
      <c r="R51">
        <v>396</v>
      </c>
      <c r="S51"/>
      <c r="T51"/>
    </row>
    <row r="52" spans="1:20" s="17" customFormat="1" ht="15.6" customHeight="1">
      <c r="A52" s="39">
        <v>9</v>
      </c>
      <c r="B52" s="58" t="s">
        <v>160</v>
      </c>
      <c r="C52" s="58" t="s">
        <v>159</v>
      </c>
      <c r="D52">
        <v>61.924999999999997</v>
      </c>
      <c r="E52" s="56">
        <v>200</v>
      </c>
      <c r="F52">
        <v>200</v>
      </c>
      <c r="G52">
        <v>200</v>
      </c>
      <c r="H52">
        <v>200</v>
      </c>
      <c r="I52">
        <v>69.855999999999995</v>
      </c>
      <c r="J52"/>
      <c r="K52"/>
      <c r="L52"/>
      <c r="M52"/>
      <c r="N52"/>
      <c r="O52"/>
      <c r="P52">
        <v>61.924999999999997</v>
      </c>
      <c r="Q52">
        <v>731.78099999999995</v>
      </c>
      <c r="R52">
        <v>396</v>
      </c>
      <c r="S52"/>
      <c r="T52"/>
    </row>
    <row r="53" spans="1:20" s="17" customFormat="1" ht="15.6" customHeight="1">
      <c r="A53" s="39">
        <v>10</v>
      </c>
      <c r="B53" s="58" t="s">
        <v>140</v>
      </c>
      <c r="C53" s="58" t="s">
        <v>141</v>
      </c>
      <c r="D53" s="56">
        <v>200</v>
      </c>
      <c r="E53" s="60">
        <v>200</v>
      </c>
      <c r="F53">
        <v>200</v>
      </c>
      <c r="G53">
        <v>200</v>
      </c>
      <c r="H53">
        <v>200</v>
      </c>
      <c r="I53">
        <v>200</v>
      </c>
      <c r="J53"/>
      <c r="K53"/>
      <c r="L53"/>
      <c r="M53"/>
      <c r="N53"/>
      <c r="O53"/>
      <c r="P53">
        <v>200</v>
      </c>
      <c r="Q53">
        <v>1000</v>
      </c>
      <c r="R53">
        <v>289</v>
      </c>
      <c r="S53"/>
      <c r="T53"/>
    </row>
    <row r="54" spans="1:20" s="17" customFormat="1" ht="15.6" customHeight="1">
      <c r="A54" s="39">
        <v>11</v>
      </c>
      <c r="B54" s="58" t="s">
        <v>73</v>
      </c>
      <c r="C54" s="58" t="s">
        <v>161</v>
      </c>
      <c r="D54" s="56">
        <v>200</v>
      </c>
      <c r="E54">
        <v>200</v>
      </c>
      <c r="F54">
        <v>200</v>
      </c>
      <c r="G54">
        <v>200</v>
      </c>
      <c r="H54">
        <v>200</v>
      </c>
      <c r="I54">
        <v>200</v>
      </c>
      <c r="J54"/>
      <c r="K54"/>
      <c r="L54"/>
      <c r="M54"/>
      <c r="N54"/>
      <c r="O54"/>
      <c r="P54">
        <v>200</v>
      </c>
      <c r="Q54">
        <v>1000</v>
      </c>
      <c r="R54">
        <v>289</v>
      </c>
      <c r="S54"/>
      <c r="T54"/>
    </row>
    <row r="55" spans="1:20" s="17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22" customFormat="1" ht="15.6" customHeight="1">
      <c r="A67" s="2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 s="26"/>
      <c r="S67"/>
      <c r="T67"/>
    </row>
    <row r="68" spans="1:20" s="22" customFormat="1" ht="15.6" customHeight="1">
      <c r="A68" s="2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 s="26"/>
      <c r="S68"/>
      <c r="T68"/>
    </row>
    <row r="69" spans="1:20" s="22" customFormat="1" ht="15.6" customHeight="1">
      <c r="A69" s="2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 s="26"/>
      <c r="S69"/>
      <c r="T69"/>
    </row>
    <row r="70" spans="1:20" s="22" customFormat="1" ht="15.6" customHeight="1">
      <c r="A70" s="2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 s="26"/>
      <c r="S70"/>
      <c r="T70"/>
    </row>
    <row r="71" spans="1:20" s="22" customFormat="1" ht="15.6" customHeight="1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4.45" customHeight="1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4.45" customHeight="1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4.45" customHeight="1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4.45" customHeight="1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5" customHeight="1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>
      <c r="A135" s="29"/>
      <c r="B135" s="22" t="s">
        <v>41</v>
      </c>
      <c r="C135" s="22" t="s">
        <v>41</v>
      </c>
      <c r="R135" s="27"/>
    </row>
    <row r="136" spans="1:20" s="22" customFormat="1">
      <c r="A136" s="29"/>
      <c r="B136" s="22" t="s">
        <v>50</v>
      </c>
      <c r="C136" s="22" t="s">
        <v>74</v>
      </c>
      <c r="R136" s="27"/>
    </row>
    <row r="137" spans="1:20" s="22" customFormat="1">
      <c r="A137" s="29"/>
      <c r="B137" s="22" t="s">
        <v>40</v>
      </c>
      <c r="C137" s="22" t="s">
        <v>40</v>
      </c>
      <c r="R137" s="27"/>
    </row>
    <row r="138" spans="1:20" s="22" customFormat="1">
      <c r="A138" s="29"/>
      <c r="B138" s="22" t="s">
        <v>41</v>
      </c>
      <c r="C138" s="22" t="s">
        <v>41</v>
      </c>
      <c r="R138" s="27"/>
    </row>
    <row r="139" spans="1:20" s="22" customFormat="1">
      <c r="A139" s="29"/>
      <c r="R139" s="27"/>
    </row>
    <row r="140" spans="1:20" s="22" customFormat="1">
      <c r="A140" s="29"/>
      <c r="R140" s="27"/>
    </row>
    <row r="141" spans="1:20" s="22" customFormat="1">
      <c r="A141" s="29"/>
      <c r="R141" s="27"/>
    </row>
    <row r="142" spans="1:20" s="22" customFormat="1">
      <c r="A142" s="29"/>
      <c r="R142" s="27"/>
    </row>
    <row r="143" spans="1:20" s="22" customFormat="1">
      <c r="A143" s="29"/>
      <c r="R143" s="27"/>
    </row>
    <row r="144" spans="1:20" s="22" customFormat="1">
      <c r="A144" s="29"/>
      <c r="R144" s="27"/>
    </row>
    <row r="145" spans="1:18" s="22" customFormat="1">
      <c r="A145" s="29"/>
      <c r="R145" s="27"/>
    </row>
    <row r="146" spans="1:18" s="22" customFormat="1">
      <c r="A146" s="29"/>
      <c r="R146" s="27"/>
    </row>
    <row r="147" spans="1:18" s="22" customFormat="1">
      <c r="A147" s="29"/>
      <c r="R147" s="27"/>
    </row>
    <row r="148" spans="1:18" s="22" customFormat="1">
      <c r="A148" s="29"/>
      <c r="R148" s="27"/>
    </row>
    <row r="149" spans="1:18" s="22" customFormat="1">
      <c r="A149" s="29"/>
      <c r="R149" s="27"/>
    </row>
    <row r="150" spans="1:18" s="22" customFormat="1">
      <c r="A150" s="29"/>
      <c r="R150" s="27"/>
    </row>
    <row r="151" spans="1:18" s="22" customFormat="1">
      <c r="A151" s="29"/>
      <c r="R151" s="27"/>
    </row>
    <row r="152" spans="1:18" s="22" customFormat="1">
      <c r="A152" s="29"/>
      <c r="R152" s="27"/>
    </row>
    <row r="153" spans="1:18" s="22" customFormat="1">
      <c r="A153" s="29"/>
      <c r="R153" s="27"/>
    </row>
    <row r="154" spans="1:18" s="22" customFormat="1">
      <c r="A154" s="29"/>
      <c r="R154" s="27"/>
    </row>
    <row r="155" spans="1:18" s="22" customFormat="1">
      <c r="A155" s="29"/>
      <c r="R155" s="27"/>
    </row>
    <row r="156" spans="1:18" s="22" customFormat="1">
      <c r="A156" s="29"/>
      <c r="R156" s="27"/>
    </row>
    <row r="157" spans="1:18" s="22" customFormat="1">
      <c r="A157" s="29"/>
      <c r="R157" s="27"/>
    </row>
    <row r="158" spans="1:18" s="22" customFormat="1">
      <c r="A158" s="29"/>
      <c r="R158" s="27"/>
    </row>
    <row r="159" spans="1:18" s="22" customFormat="1">
      <c r="A159" s="29"/>
      <c r="R159" s="27"/>
    </row>
    <row r="160" spans="1:18" s="22" customFormat="1">
      <c r="A160" s="29"/>
      <c r="R160" s="27"/>
    </row>
    <row r="161" spans="1:18" s="22" customFormat="1">
      <c r="A161" s="29"/>
      <c r="R161" s="27"/>
    </row>
    <row r="162" spans="1:18" s="22" customFormat="1">
      <c r="A162" s="29"/>
      <c r="R162" s="27"/>
    </row>
    <row r="163" spans="1:18" s="22" customFormat="1">
      <c r="A163" s="29"/>
      <c r="R163" s="27"/>
    </row>
    <row r="164" spans="1:18" s="22" customFormat="1">
      <c r="A164" s="29"/>
      <c r="R164" s="27"/>
    </row>
    <row r="165" spans="1:18" s="22" customFormat="1">
      <c r="A165" s="29"/>
      <c r="R165" s="27"/>
    </row>
    <row r="166" spans="1:18" s="22" customFormat="1">
      <c r="A166" s="29"/>
      <c r="R166" s="27"/>
    </row>
    <row r="167" spans="1:18" s="22" customFormat="1">
      <c r="A167" s="29"/>
      <c r="R167" s="27"/>
    </row>
    <row r="168" spans="1:18" s="22" customFormat="1">
      <c r="A168" s="29"/>
      <c r="R168" s="27"/>
    </row>
    <row r="169" spans="1:18" s="22" customFormat="1">
      <c r="A169" s="29"/>
      <c r="R169" s="27"/>
    </row>
    <row r="170" spans="1:18" s="22" customFormat="1">
      <c r="A170" s="29"/>
      <c r="R170" s="27"/>
    </row>
    <row r="171" spans="1:18" s="22" customFormat="1">
      <c r="A171" s="29"/>
      <c r="R171" s="27"/>
    </row>
    <row r="172" spans="1:18" s="22" customFormat="1">
      <c r="A172" s="29"/>
      <c r="R172" s="27"/>
    </row>
    <row r="173" spans="1:18" s="22" customFormat="1">
      <c r="A173" s="29"/>
      <c r="R173" s="27"/>
    </row>
    <row r="174" spans="1:18" s="22" customFormat="1">
      <c r="A174" s="29"/>
      <c r="R174" s="27"/>
    </row>
    <row r="175" spans="1:18" s="22" customFormat="1">
      <c r="A175" s="29"/>
      <c r="R175" s="27"/>
    </row>
    <row r="176" spans="1:18" s="22" customFormat="1">
      <c r="A176" s="29"/>
      <c r="R176" s="27"/>
    </row>
    <row r="177" spans="1:18" s="22" customFormat="1">
      <c r="A177" s="29"/>
      <c r="R177" s="27"/>
    </row>
    <row r="178" spans="1:18" s="22" customFormat="1">
      <c r="A178" s="29"/>
      <c r="R178" s="27"/>
    </row>
    <row r="179" spans="1:18" s="22" customFormat="1">
      <c r="A179" s="29"/>
      <c r="R179" s="27"/>
    </row>
    <row r="180" spans="1:18" s="22" customFormat="1">
      <c r="A180" s="29"/>
      <c r="R180" s="27"/>
    </row>
    <row r="181" spans="1:18" s="22" customFormat="1">
      <c r="A181" s="29"/>
      <c r="R181" s="27"/>
    </row>
    <row r="182" spans="1:18" s="22" customFormat="1">
      <c r="A182" s="29"/>
      <c r="R182" s="27"/>
    </row>
    <row r="183" spans="1:18" s="22" customFormat="1">
      <c r="A183" s="29"/>
      <c r="R183" s="27"/>
    </row>
    <row r="184" spans="1:18" s="22" customFormat="1">
      <c r="A184" s="29"/>
      <c r="R184" s="27"/>
    </row>
    <row r="185" spans="1:18" s="22" customFormat="1">
      <c r="A185" s="29"/>
      <c r="R185" s="27"/>
    </row>
    <row r="186" spans="1:18" s="22" customFormat="1">
      <c r="A186" s="29"/>
      <c r="R186" s="27"/>
    </row>
    <row r="187" spans="1:18" s="22" customFormat="1">
      <c r="A187" s="29"/>
      <c r="R187" s="27"/>
    </row>
    <row r="188" spans="1:18" s="22" customFormat="1">
      <c r="A188" s="29"/>
      <c r="R188" s="27"/>
    </row>
    <row r="189" spans="1:18" s="22" customFormat="1">
      <c r="A189" s="29"/>
      <c r="R189" s="27"/>
    </row>
    <row r="190" spans="1:18" s="22" customFormat="1">
      <c r="A190" s="29"/>
      <c r="R190" s="27"/>
    </row>
    <row r="191" spans="1:18" s="22" customFormat="1">
      <c r="A191" s="29"/>
      <c r="R191" s="27"/>
    </row>
    <row r="192" spans="1:18" s="22" customFormat="1">
      <c r="A192" s="29"/>
      <c r="R192" s="27"/>
    </row>
    <row r="193" spans="1:18" s="22" customFormat="1">
      <c r="A193" s="29"/>
      <c r="R193" s="27"/>
    </row>
    <row r="194" spans="1:18" s="22" customFormat="1">
      <c r="A194" s="29"/>
      <c r="R194" s="27"/>
    </row>
    <row r="195" spans="1:18" s="22" customFormat="1">
      <c r="A195" s="29"/>
      <c r="R195" s="27"/>
    </row>
    <row r="196" spans="1:18" s="22" customFormat="1">
      <c r="A196" s="29"/>
      <c r="R196" s="27"/>
    </row>
    <row r="197" spans="1:18" s="22" customFormat="1">
      <c r="A197" s="29"/>
      <c r="R197" s="27"/>
    </row>
    <row r="198" spans="1:18" s="22" customFormat="1">
      <c r="A198" s="29"/>
      <c r="R198" s="27"/>
    </row>
    <row r="199" spans="1:18" s="22" customFormat="1">
      <c r="A199" s="29"/>
      <c r="R199" s="27"/>
    </row>
    <row r="200" spans="1:18" s="22" customFormat="1">
      <c r="A200" s="29"/>
      <c r="R200" s="27"/>
    </row>
    <row r="201" spans="1:18" s="22" customFormat="1">
      <c r="A201" s="29"/>
      <c r="R201" s="27"/>
    </row>
  </sheetData>
  <sortState xmlns:xlrd2="http://schemas.microsoft.com/office/spreadsheetml/2017/richdata2" ref="A44:XFD54">
    <sortCondition descending="1" ref="R43"/>
  </sortState>
  <mergeCells count="4">
    <mergeCell ref="C8:S8"/>
    <mergeCell ref="D1:L5"/>
    <mergeCell ref="C11:S11"/>
    <mergeCell ref="C43:S43"/>
  </mergeCells>
  <pageMargins left="0.7" right="0.7" top="0.75" bottom="0.75" header="0.3" footer="0.3"/>
  <pageSetup paperSize="9" scale="35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9" t="s">
        <v>182</v>
      </c>
      <c r="B1" s="69"/>
      <c r="C1" s="69"/>
      <c r="D1" s="69"/>
      <c r="E1" s="69"/>
      <c r="F1" s="69"/>
      <c r="G1" s="69"/>
      <c r="H1" s="69"/>
      <c r="I1" s="69"/>
      <c r="J1" s="69"/>
    </row>
    <row r="2" spans="1:20" ht="16.5">
      <c r="A2" s="70" t="s">
        <v>23</v>
      </c>
      <c r="B2" s="70"/>
      <c r="C2" s="70"/>
      <c r="D2" s="70"/>
      <c r="E2" s="70"/>
      <c r="F2" s="70"/>
      <c r="G2" s="70"/>
      <c r="H2" s="70"/>
      <c r="I2" s="70"/>
      <c r="J2" s="70"/>
      <c r="T2" s="3" t="e">
        <f>#REF!-10.23</f>
        <v>#REF!</v>
      </c>
    </row>
    <row r="3" spans="1:20" ht="33.4" customHeight="1">
      <c r="A3" s="71" t="s">
        <v>24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2" t="s">
        <v>32</v>
      </c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0">
        <v>45074.56109328704</v>
      </c>
      <c r="B8" s="31">
        <v>6534</v>
      </c>
      <c r="C8" s="42" t="s">
        <v>179</v>
      </c>
      <c r="D8" s="42" t="s">
        <v>179</v>
      </c>
      <c r="E8" s="42" t="s">
        <v>179</v>
      </c>
      <c r="F8" s="42" t="s">
        <v>179</v>
      </c>
      <c r="G8" s="42" t="s">
        <v>179</v>
      </c>
      <c r="H8" s="42" t="s">
        <v>179</v>
      </c>
      <c r="I8" s="42" t="s">
        <v>179</v>
      </c>
      <c r="J8" s="42" t="s">
        <v>179</v>
      </c>
      <c r="K8" s="42" t="s">
        <v>179</v>
      </c>
      <c r="L8" s="42" t="s">
        <v>179</v>
      </c>
      <c r="M8" s="31"/>
    </row>
    <row r="9" spans="1:20" ht="19.5" customHeight="1">
      <c r="A9" s="13">
        <v>45074.561093252312</v>
      </c>
      <c r="B9" s="12">
        <v>5524</v>
      </c>
      <c r="C9" s="41">
        <v>9.7409999999999997</v>
      </c>
      <c r="D9" s="41">
        <v>5.8849999999999998</v>
      </c>
      <c r="E9" s="41">
        <v>5.367</v>
      </c>
      <c r="F9" s="41">
        <v>5.915</v>
      </c>
      <c r="G9" s="41">
        <v>5.4980000000000002</v>
      </c>
      <c r="H9" s="41">
        <v>5.4939999999999998</v>
      </c>
      <c r="I9" s="41">
        <v>6.1689999999999996</v>
      </c>
      <c r="J9" s="41">
        <v>5.609</v>
      </c>
      <c r="K9" s="41">
        <v>5.7119999999999997</v>
      </c>
      <c r="L9" s="41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41">
        <v>8.9930000000000003</v>
      </c>
      <c r="D10" s="41">
        <v>5.75</v>
      </c>
      <c r="E10" s="41">
        <v>5.5289999999999999</v>
      </c>
      <c r="F10" s="41">
        <v>5.5190000000000001</v>
      </c>
      <c r="G10" s="41">
        <v>5.8730000000000002</v>
      </c>
      <c r="H10" s="41">
        <v>5.6340000000000003</v>
      </c>
      <c r="I10" s="41">
        <v>5.6379999999999999</v>
      </c>
      <c r="J10" s="41">
        <v>5.7830000000000004</v>
      </c>
      <c r="K10" s="41">
        <v>5.4050000000000002</v>
      </c>
      <c r="L10" s="41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41">
        <v>8.7270000000000003</v>
      </c>
      <c r="D11" s="41">
        <v>6.0739999999999998</v>
      </c>
      <c r="E11" s="41">
        <v>6.4189999999999996</v>
      </c>
      <c r="F11" s="41">
        <v>5.7919999999999998</v>
      </c>
      <c r="G11" s="41">
        <v>5.9889999999999999</v>
      </c>
      <c r="H11" s="41">
        <v>5.6870000000000003</v>
      </c>
      <c r="I11" s="41">
        <v>5.85</v>
      </c>
      <c r="J11" s="41">
        <v>5.9189999999999996</v>
      </c>
      <c r="K11" s="41">
        <v>5.5970000000000004</v>
      </c>
      <c r="L11" s="41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41" t="s">
        <v>179</v>
      </c>
      <c r="D12" s="41" t="s">
        <v>179</v>
      </c>
      <c r="E12" s="41" t="s">
        <v>179</v>
      </c>
      <c r="F12" s="41" t="s">
        <v>179</v>
      </c>
      <c r="G12" s="41" t="s">
        <v>179</v>
      </c>
      <c r="H12" s="41" t="s">
        <v>179</v>
      </c>
      <c r="I12" s="41" t="s">
        <v>179</v>
      </c>
      <c r="J12" s="41" t="s">
        <v>179</v>
      </c>
      <c r="K12" s="41" t="s">
        <v>179</v>
      </c>
      <c r="L12" s="41" t="s">
        <v>179</v>
      </c>
      <c r="M12" s="12"/>
    </row>
    <row r="13" spans="1:20" ht="19.5" customHeight="1">
      <c r="A13" s="13">
        <v>45074.557830937498</v>
      </c>
      <c r="B13" s="12">
        <v>5514</v>
      </c>
      <c r="C13" s="41">
        <v>9.1229999999999993</v>
      </c>
      <c r="D13" s="41">
        <v>6.657</v>
      </c>
      <c r="E13" s="41">
        <v>6.0190000000000001</v>
      </c>
      <c r="F13" s="41">
        <v>6.0430000000000001</v>
      </c>
      <c r="G13" s="41">
        <v>5.8310000000000004</v>
      </c>
      <c r="H13" s="41">
        <v>6.0469999999999997</v>
      </c>
      <c r="I13" s="41">
        <v>5.85</v>
      </c>
      <c r="J13" s="41">
        <v>5.9450000000000003</v>
      </c>
      <c r="K13" s="41">
        <v>6.3259999999999996</v>
      </c>
      <c r="L13" s="41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41">
        <v>8.4179999999999993</v>
      </c>
      <c r="D14" s="41">
        <v>5.8979999999999997</v>
      </c>
      <c r="E14" s="41">
        <v>5.8070000000000004</v>
      </c>
      <c r="F14" s="41">
        <v>5.8639999999999999</v>
      </c>
      <c r="G14" s="41">
        <v>5.9989999999999997</v>
      </c>
      <c r="H14" s="41">
        <v>5.7549999999999999</v>
      </c>
      <c r="I14" s="41">
        <v>5.8</v>
      </c>
      <c r="J14" s="41">
        <v>5.657</v>
      </c>
      <c r="K14" s="41">
        <v>5.8710000000000004</v>
      </c>
      <c r="L14" s="41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41">
        <v>9.2509999999999994</v>
      </c>
      <c r="D15" s="41">
        <v>6.3419999999999996</v>
      </c>
      <c r="E15" s="41">
        <v>5.548</v>
      </c>
      <c r="F15" s="41">
        <v>6.5540000000000003</v>
      </c>
      <c r="G15" s="41">
        <v>5.9390000000000001</v>
      </c>
      <c r="H15" s="41">
        <v>5.69</v>
      </c>
      <c r="I15" s="41" t="s">
        <v>317</v>
      </c>
      <c r="J15" s="41">
        <v>6.5049999999999999</v>
      </c>
      <c r="K15" s="41">
        <v>6.3070000000000004</v>
      </c>
      <c r="L15" s="41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41">
        <v>9.5869999999999997</v>
      </c>
      <c r="D16" s="41">
        <v>6.7060000000000004</v>
      </c>
      <c r="E16" s="41">
        <v>6.5949999999999998</v>
      </c>
      <c r="F16" s="41">
        <v>7.1470000000000002</v>
      </c>
      <c r="G16" s="41">
        <v>6.7510000000000003</v>
      </c>
      <c r="H16" s="41">
        <v>6.8540000000000001</v>
      </c>
      <c r="I16" s="41">
        <v>6.2190000000000003</v>
      </c>
      <c r="J16" s="41">
        <v>6.3369999999999997</v>
      </c>
      <c r="K16" s="41">
        <v>6.391</v>
      </c>
      <c r="L16" s="41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41">
        <v>7.7910000000000004</v>
      </c>
      <c r="D17" s="41">
        <v>5.4409999999999998</v>
      </c>
      <c r="E17" s="41">
        <v>5.032</v>
      </c>
      <c r="F17" s="41">
        <v>5.2160000000000002</v>
      </c>
      <c r="G17" s="41">
        <v>5.4660000000000002</v>
      </c>
      <c r="H17" s="41">
        <v>5.1769999999999996</v>
      </c>
      <c r="I17" s="41">
        <v>5.1909999999999998</v>
      </c>
      <c r="J17" s="41">
        <v>5.1769999999999996</v>
      </c>
      <c r="K17" s="41">
        <v>4.9989999999999997</v>
      </c>
      <c r="L17" s="41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41">
        <v>19.574999999999999</v>
      </c>
      <c r="D18" s="41">
        <v>5.6289999999999996</v>
      </c>
      <c r="E18" s="41">
        <v>5.19</v>
      </c>
      <c r="F18" s="41">
        <v>4.9720000000000004</v>
      </c>
      <c r="G18" s="41">
        <v>5.3259999999999996</v>
      </c>
      <c r="H18" s="41">
        <v>5.0380000000000003</v>
      </c>
      <c r="I18" s="41">
        <v>5.0190000000000001</v>
      </c>
      <c r="J18" s="41">
        <v>4.6970000000000001</v>
      </c>
      <c r="K18" s="41">
        <v>5.4569999999999999</v>
      </c>
      <c r="L18" s="41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41" t="s">
        <v>179</v>
      </c>
      <c r="D19" s="41" t="s">
        <v>179</v>
      </c>
      <c r="E19" s="41" t="s">
        <v>179</v>
      </c>
      <c r="F19" s="41" t="s">
        <v>179</v>
      </c>
      <c r="G19" s="41" t="s">
        <v>179</v>
      </c>
      <c r="H19" s="41" t="s">
        <v>179</v>
      </c>
      <c r="I19" s="41" t="s">
        <v>179</v>
      </c>
      <c r="J19" s="41" t="s">
        <v>179</v>
      </c>
      <c r="K19" s="41" t="s">
        <v>179</v>
      </c>
      <c r="L19" s="41" t="s">
        <v>179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3" t="s">
        <v>21</v>
      </c>
      <c r="B1" s="73"/>
      <c r="C1" s="73"/>
      <c r="D1" s="73"/>
      <c r="E1" s="73"/>
      <c r="F1" s="73"/>
      <c r="G1" s="73"/>
      <c r="H1" s="73"/>
    </row>
    <row r="2" spans="1:15" ht="16.5">
      <c r="A2" s="74" t="s">
        <v>22</v>
      </c>
      <c r="B2" s="74"/>
      <c r="C2" s="74"/>
      <c r="D2" s="74"/>
      <c r="E2" s="74"/>
      <c r="F2" s="74"/>
      <c r="G2" s="74"/>
      <c r="H2" s="74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5</v>
      </c>
      <c r="E5" s="4" t="s">
        <v>52</v>
      </c>
      <c r="F5" s="4" t="s">
        <v>125</v>
      </c>
      <c r="G5" s="4" t="s">
        <v>177</v>
      </c>
      <c r="H5" s="4" t="s">
        <v>178</v>
      </c>
      <c r="I5" s="4" t="s">
        <v>126</v>
      </c>
      <c r="J5" s="4" t="s">
        <v>127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5" t="s">
        <v>19</v>
      </c>
      <c r="B1" s="75"/>
      <c r="C1" s="75"/>
      <c r="D1" s="75"/>
      <c r="E1" s="75"/>
    </row>
    <row r="2" spans="1:5" ht="49.9" customHeight="1">
      <c r="A2" s="76" t="s">
        <v>20</v>
      </c>
      <c r="B2" s="76"/>
      <c r="C2" s="76"/>
      <c r="D2" s="76"/>
      <c r="E2" s="76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49.9" customHeight="1">
      <c r="A13" s="77" t="s">
        <v>107</v>
      </c>
      <c r="B13" s="77"/>
      <c r="C13" s="77"/>
      <c r="D13" s="77"/>
      <c r="E13" s="77"/>
    </row>
    <row r="24" spans="1:10">
      <c r="A24" s="4">
        <v>850</v>
      </c>
      <c r="B24" s="4" t="s">
        <v>7</v>
      </c>
      <c r="C24" s="4">
        <v>1</v>
      </c>
      <c r="D24" s="4">
        <v>5</v>
      </c>
      <c r="E24" s="4" t="s">
        <v>52</v>
      </c>
      <c r="F24" s="4" t="s">
        <v>125</v>
      </c>
      <c r="G24" s="4" t="s">
        <v>177</v>
      </c>
      <c r="H24" s="4" t="s">
        <v>178</v>
      </c>
      <c r="I24" s="4" t="s">
        <v>126</v>
      </c>
      <c r="J24" s="4" t="s">
        <v>127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2023-05-30T08:17:46Z</cp:lastPrinted>
  <dcterms:created xsi:type="dcterms:W3CDTF">2017-10-09T03:02:51Z</dcterms:created>
  <dcterms:modified xsi:type="dcterms:W3CDTF">2023-05-30T08:26:29Z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